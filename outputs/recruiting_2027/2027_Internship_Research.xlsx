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5cefb9a3f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清单" sheetId="1" r:id="R18addc6e60be43c8"/>
    <x:sheet xmlns:r="http://schemas.openxmlformats.org/officeDocument/2006/relationships" name="公司观察" sheetId="2" r:id="R7913a8e9c6d94042"/>
    <x:sheet xmlns:r="http://schemas.openxmlformats.org/officeDocument/2006/relationships" name="方向与简历对应" sheetId="3" r:id="R997eb4395299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183047"/>
      <x:name val="Arial"/>
    </x:font>
    <x:font>
      <x:i/>
      <x:sz val="10"/>
      <x:color rgb="FF4B5563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  <x:font>
      <x:sz val="11"/>
      <x:color rgb="FF174A7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7A4A00"/>
      </x:font>
      <x:fill>
        <x:patternFill patternType="solid">
          <x:bgColor rgb="FFFFF4D5"/>
        </x:patternFill>
      </x:fill>
    </x:dxf>
    <x:dxf>
      <x:font>
        <x:color rgb="FF943737"/>
      </x:font>
      <x:fill>
        <x:patternFill patternType="solid">
          <x:bgColor rgb="FFFDE8E7"/>
        </x:patternFill>
      </x:fill>
    </x:dxf>
    <x:dxf>
      <x:font>
        <x:color rgb="FF425A75"/>
      </x:font>
      <x:fill>
        <x:patternFill patternType="solid">
          <x:bgColor rgb="FFEA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2d1db880047b0" /><Relationship Type="http://schemas.openxmlformats.org/officeDocument/2006/relationships/theme" Target="/xl/theme/theme1.xml" Id="R6b289c2f055d4ab6" /><Relationship Type="http://schemas.openxmlformats.org/officeDocument/2006/relationships/sharedStrings" Target="/xl/sharedStrings.xml" Id="R45096dafe1824516" /><Relationship Type="http://schemas.openxmlformats.org/officeDocument/2006/relationships/worksheet" Target="/xl/worksheets/sheet1.xml" Id="R18addc6e60be43c8" /><Relationship Type="http://schemas.openxmlformats.org/officeDocument/2006/relationships/worksheet" Target="/xl/worksheets/sheet2.xml" Id="R7913a8e9c6d94042" /><Relationship Type="http://schemas.openxmlformats.org/officeDocument/2006/relationships/worksheet" Target="/xl/worksheets/sheet3.xml" Id="R997eb43952994f52" /></Relationships>
</file>

<file path=xl/tables/table1.xml><?xml version="1.0" encoding="utf-8"?>
<x:table xmlns:x="http://schemas.openxmlformats.org/spreadsheetml/2006/main" id="1" name="Jobs2027" displayName="Jobs2027" ref="A4:AE61" headerRowCount="1" totalsRowCount="0" totalsRowShown="0">
  <x:autoFilter ref="A4:AE61"/>
  <x:tableColumns count="31">
    <x:tableColumn id="1" name="ID"/>
    <x:tableColumn id="2" name="优先级"/>
    <x:tableColumn id="3" name="公司"/>
    <x:tableColumn id="4" name="职位/团队"/>
    <x:tableColumn id="5" name="方向"/>
    <x:tableColumn id="6" name="筛选结论"/>
    <x:tableColumn id="7" name="国家"/>
    <x:tableColumn id="8" name="地点/办公方式"/>
    <x:tableColumn id="9" name="实习季节"/>
    <x:tableColumn id="10" name="时长/日期安排"/>
    <x:tableColumn id="11" name="招聘状态"/>
    <x:tableColumn id="12" name="日期（按右列解释）"/>
    <x:tableColumn id="13" name="日期类型"/>
    <x:tableColumn id="14" name="日期说明"/>
    <x:tableColumn id="15" name="学位要求"/>
    <x:tableColumn id="16" name="PhD要求"/>
    <x:tableColumn id="17" name="毕业年份要求"/>
    <x:tableColumn id="18" name="返校要求"/>
    <x:tableColumn id="19" name="职责摘要"/>
    <x:tableColumn id="20" name="必需技能/条件"/>
    <x:tableColumn id="21" name="加分项"/>
    <x:tableColumn id="22" name="简历匹配依据"/>
    <x:tableColumn id="23" name="缺口/待确认"/>
    <x:tableColumn id="24" name="JD工作授权条件（不推断个人）"/>
    <x:tableColumn id="25" name="职位/项目性质"/>
    <x:tableColumn id="26" name="官方岗位编号"/>
    <x:tableColumn id="27" name="核验日期"/>
    <x:tableColumn id="28" name="简历版本"/>
    <x:tableColumn id="29" name="核验层级"/>
    <x:tableColumn id="30" name="发现渠道"/>
    <x:tableColumn id="31" name="官方来源链接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nyWatch" displayName="CompanyWatch" ref="A4:H50" headerRowCount="1" totalsRowCount="0" totalsRowShown="0">
  <x:autoFilter ref="A4:H50"/>
  <x:tableColumns count="8">
    <x:tableColumn id="1" name="公司"/>
    <x:tableColumn id="2" name="地区"/>
    <x:tableColumn id="3" name="本次核验结论"/>
    <x:tableColumn id="4" name="方向"/>
    <x:tableColumn id="5" name="限制与下一检查点"/>
    <x:tableColumn id="6" name="核验层级"/>
    <x:tableColumn id="7" name="核验日期"/>
    <x:tableColumn id="8" name="官方入口/线索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sumeMap" displayName="ResumeMap" ref="A4:H9" headerRowCount="1" totalsRowCount="0" totalsRowShown="0">
  <x:autoFilter ref="A4:H9"/>
  <x:tableColumns count="8">
    <x:tableColumn id="1" name="版本"/>
    <x:tableColumn id="2" name="方向"/>
    <x:tableColumn id="3" name="定位"/>
    <x:tableColumn id="4" name="简历重点"/>
    <x:tableColumn id="5" name="现有证据"/>
    <x:tableColumn id="6" name="代表JD"/>
    <x:tableColumn id="7" name="主要缺口"/>
    <x:tableColumn id="8" name="可编辑LaTeX路径（相对工作区）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713b84e664b343b2" /><ns0:Relationship Id="rIdHyperlink1" Type="http://schemas.openxmlformats.org/officeDocument/2006/relationships/hyperlink" Target="https://corningjobs.corning.com/job/Painted-Post-Vision-System-Intern-Summer-2027-NY-14870/1425508200/" TargetMode="External" /><ns0:Relationship Id="rIdHyperlink2" Type="http://schemas.openxmlformats.org/officeDocument/2006/relationships/hyperlink" Target="https://corningjobs.corning.com/job/Painted-Post-Intern,-Advanced-Process-Controls-Summer-2027-NY-14870/1432275700/" TargetMode="External" /><ns0:Relationship Id="rIdHyperlink3" Type="http://schemas.openxmlformats.org/officeDocument/2006/relationships/hyperlink" Target="https://www.careers.jnj.com/ja-jp/jobs/r-099654/robotics-controls-autonomy-intern-robotics-rd/" TargetMode="External" /><ns0:Relationship Id="rIdHyperlink4" Type="http://schemas.openxmlformats.org/officeDocument/2006/relationships/hyperlink" Target="https://www.careers.jnj.com/es-la/jobs/r-100027/systems-simulation-engineering-intern-robotics-rd/" TargetMode="External" /><ns0:Relationship Id="rIdHyperlink5" Type="http://schemas.openxmlformats.org/officeDocument/2006/relationships/hyperlink" Target="https://www.careers.jnj.com/fr-ca/jobs/r-099919/software-engineering-intern-robotics-rd/" TargetMode="External" /><ns0:Relationship Id="rIdHyperlink6" Type="http://schemas.openxmlformats.org/officeDocument/2006/relationships/hyperlink" Target="https://careers.withwaymo.com/jobs/2027-summer-intern-ms-phd-machine-learning-simulator-evaluation-mountain-view-california-united-states" TargetMode="External" /><ns0:Relationship Id="rIdHyperlink7" Type="http://schemas.openxmlformats.org/officeDocument/2006/relationships/hyperlink" Target="https://careers.withwaymo.com/jobs/2027-summer-intern-ms-software-engineering-behavior-test-san-francisco-california-united-states" TargetMode="External" /><ns0:Relationship Id="rIdHyperlink8" Type="http://schemas.openxmlformats.org/officeDocument/2006/relationships/hyperlink" Target="https://careers.withwaymo.com/jobs/2027-summer-intern-ms-phd-road-understanding-ml-engineer-mountain-view-california-united-states" TargetMode="External" /><ns0:Relationship Id="rIdHyperlink9" Type="http://schemas.openxmlformats.org/officeDocument/2006/relationships/hyperlink" Target="https://careers.withwaymo.com/jobs/2027-summer-intern-ms-phd-software-engineer-multiverse-mountain-view-california-united-states" TargetMode="External" /><ns0:Relationship Id="rIdHyperlink10" Type="http://schemas.openxmlformats.org/officeDocument/2006/relationships/hyperlink" Target="https://careers.withwaymo.com/jobs/2027-summer-intern-bs-ms-embedded-software-engineer-mountain-view-california-united-states" TargetMode="External" /><ns0:Relationship Id="rIdHyperlink11" Type="http://schemas.openxmlformats.org/officeDocument/2006/relationships/hyperlink" Target="https://careers.withwaymo.com/jobs/2027-summer-intern-bs-ms-software-engineering-maneuvering-tech-san-francisco-california-united-states" TargetMode="External" /><ns0:Relationship Id="rIdHyperlink12" Type="http://schemas.openxmlformats.org/officeDocument/2006/relationships/hyperlink" Target="https://careers.withwaymo.com/jobs/2027-summer-intern-bs-ms-pipeline-and-test-health-engineer-san-francisco-california-united-states" TargetMode="External" /><ns0:Relationship Id="rIdHyperlink13" Type="http://schemas.openxmlformats.org/officeDocument/2006/relationships/hyperlink" Target="https://careers.withwaymo.com/jobs/2027-summer-intern-bs-ms-scenes-mountain-view-california-united-states" TargetMode="External" /><ns0:Relationship Id="rIdHyperlink14" Type="http://schemas.openxmlformats.org/officeDocument/2006/relationships/hyperlink" Target="https://careers.withwaymo.com/jobs/2027-summer-intern-ms-phd-conflict-behavior-mountain-view-california-united-states" TargetMode="External" /><ns0:Relationship Id="rIdHyperlink15" Type="http://schemas.openxmlformats.org/officeDocument/2006/relationships/hyperlink" Target="https://careers.withwaymo.com/jobs/2027-summer-intern-ms-phd-machine-learning-engineer-san-francisco-california-united-states" TargetMode="External" /><ns0:Relationship Id="rIdHyperlink16" Type="http://schemas.openxmlformats.org/officeDocument/2006/relationships/hyperlink" Target="https://careers.withwaymo.com/jobs/2027-summer-intern-ms-phd-machine-learning-engineer-simulator-realism-evaluation-san-francisco-california-united-states" TargetMode="External" /><ns0:Relationship Id="rIdHyperlink17" Type="http://schemas.openxmlformats.org/officeDocument/2006/relationships/hyperlink" Target="https://careers.withwaymo.com/jobs/2027-summer-intern-ms-phd-software-engineer-mountain-view-california-united-states-5fee6bf6-c4ad-4bfa-ad0b-7a335c8f649d" TargetMode="External" /><ns0:Relationship Id="rIdHyperlink18" Type="http://schemas.openxmlformats.org/officeDocument/2006/relationships/hyperlink" Target="https://careers.withwaymo.com/jobs/2027-summer-intern-ms-phd-software-engineer-simulation-evaluation-ml-model-mountain-view-california-united-states" TargetMode="External" /><ns0:Relationship Id="rIdHyperlink19" Type="http://schemas.openxmlformats.org/officeDocument/2006/relationships/hyperlink" Target="https://jobs.ashbyhq.com/bedrock-robotics/8927dd7e-a48d-49a2-92eb-09ec059432f4" TargetMode="External" /><ns0:Relationship Id="rIdHyperlink20" Type="http://schemas.openxmlformats.org/officeDocument/2006/relationships/hyperlink" Target="https://corningjobs.corning.com/job/Painted-Post-Intern,-Controls-Engineering-Summer-2027-NY-14870/1425734500/" TargetMode="External" /><ns0:Relationship Id="rIdHyperlink21" Type="http://schemas.openxmlformats.org/officeDocument/2006/relationships/hyperlink" Target="https://corningjobs.corning.com/job/Canton-Controls-Engineer-Intern-Summer-2027-NY-13617/1425733700/" TargetMode="External" /><ns0:Relationship Id="rIdHyperlink22" Type="http://schemas.openxmlformats.org/officeDocument/2006/relationships/hyperlink" Target="https://careers.withwaymo.com/jobs/2027-summer-intern-bs-ms-software-engineering-commercialization-mountain-view-california-united-states-san-francisco" TargetMode="External" /><ns0:Relationship Id="rIdHyperlink23" Type="http://schemas.openxmlformats.org/officeDocument/2006/relationships/hyperlink" Target="https://jobs.ashbyhq.com/physicalintelligence/f020ff1a-4b4c-4415-8434-2da5010a7076" TargetMode="External" /><ns0:Relationship Id="rIdHyperlink24" Type="http://schemas.openxmlformats.org/officeDocument/2006/relationships/hyperlink" Target="https://careers.withwaymo.com/jobs/2027-summer-intern-bs-ms-software-engineer-san-francisco-california-united-states" TargetMode="External" /><ns0:Relationship Id="rIdHyperlink25" Type="http://schemas.openxmlformats.org/officeDocument/2006/relationships/hyperlink" Target="https://job-boards.greenhouse.io/neuralink/jobs/5469305003" TargetMode="External" /><ns0:Relationship Id="rIdHyperlink26" Type="http://schemas.openxmlformats.org/officeDocument/2006/relationships/hyperlink" Target="https://talent.baidu.com/jobs/detail/INTERN/f4f00de1-f5a6-494d-b8e1-943ce9d94905" TargetMode="External" /><ns0:Relationship Id="rIdHyperlink27" Type="http://schemas.openxmlformats.org/officeDocument/2006/relationships/hyperlink" Target="https://talent.baidu.com/jobs/detail/INTERN/09a5cef9-73c6-4462-995b-fe74a8450d10" TargetMode="External" /><ns0:Relationship Id="rIdHyperlink28" Type="http://schemas.openxmlformats.org/officeDocument/2006/relationships/hyperlink" Target="https://jobs.ashbyhq.com/bedrock-robotics/8c7bad61-50e3-4702-be36-72e9b72a9760" TargetMode="External" /><ns0:Relationship Id="rIdHyperlink29" Type="http://schemas.openxmlformats.org/officeDocument/2006/relationships/hyperlink" Target="https://jobs.ashbyhq.com/bedrock-robotics/77759050-75f5-45ed-a3a8-35b665daaadc" TargetMode="External" /><ns0:Relationship Id="rIdHyperlink30" Type="http://schemas.openxmlformats.org/officeDocument/2006/relationships/hyperlink" Target="https://jobs.ashbyhq.com/bedrock-robotics/949feb1b-c60f-43c5-94de-7dd9cd70ba4a" TargetMode="External" /><ns0:Relationship Id="rIdHyperlink31" Type="http://schemas.openxmlformats.org/officeDocument/2006/relationships/hyperlink" Target="https://jobs.ashbyhq.com/bedrock-robotics/1f413f83-b897-4938-a19e-ab91bd326c51" TargetMode="External" /><ns0:Relationship Id="rIdHyperlink32" Type="http://schemas.openxmlformats.org/officeDocument/2006/relationships/hyperlink" Target="https://jobs.ashbyhq.com/bedrock-robotics/cb06dc4f-3e78-4546-897d-b39ba12a9178" TargetMode="External" /><ns0:Relationship Id="rIdHyperlink33" Type="http://schemas.openxmlformats.org/officeDocument/2006/relationships/hyperlink" Target="https://campus-talent.alibaba.com/campus/position/199904300004" TargetMode="External" /><ns0:Relationship Id="rIdHyperlink34" Type="http://schemas.openxmlformats.org/officeDocument/2006/relationships/hyperlink" Target="https://jobs.ashbyhq.com/bedrock-robotics/c51d682e-58ee-44de-886f-4cfacb56d2e1" TargetMode="External" /><ns0:Relationship Id="rIdHyperlink35" Type="http://schemas.openxmlformats.org/officeDocument/2006/relationships/hyperlink" Target="https://jobs.ashbyhq.com/bedrock-robotics/0331551e-c18e-428a-8e91-e6cb25c9c2e8" TargetMode="External" /><ns0:Relationship Id="rIdHyperlink36" Type="http://schemas.openxmlformats.org/officeDocument/2006/relationships/hyperlink" Target="https://jobs.ashbyhq.com/bedrock-robotics/c396dedc-06ec-4a23-8408-0194e360f30e" TargetMode="External" /><ns0:Relationship Id="rIdHyperlink37" Type="http://schemas.openxmlformats.org/officeDocument/2006/relationships/hyperlink" Target="https://jobs.ashbyhq.com/bedrock-robotics/d7da851b-55c2-45d4-bf8b-aa879282f25c" TargetMode="External" /><ns0:Relationship Id="rIdHyperlink38" Type="http://schemas.openxmlformats.org/officeDocument/2006/relationships/hyperlink" Target="https://jobs.ashbyhq.com/bedrock-robotics/c9c08251-6a42-4f9c-be4d-2621995cc8f9" TargetMode="External" /><ns0:Relationship Id="rIdHyperlink39" Type="http://schemas.openxmlformats.org/officeDocument/2006/relationships/hyperlink" Target="https://nvidia.wd5.myworkdayjobs.com/NVIDIAExternalCareerSite/job/China-Shanghai/AI-Developer-Technology-Intern--Robotics---2027_JR2024054-1" TargetMode="External" /><ns0:Relationship Id="rIdHyperlink40" Type="http://schemas.openxmlformats.org/officeDocument/2006/relationships/hyperlink" Target="https://careers.withwaymo.com/jobs/2027-summer-intern-ms-phd-perception-machine-learning-mountain-view-california-united-states" TargetMode="External" /><ns0:Relationship Id="rIdHyperlink41" Type="http://schemas.openxmlformats.org/officeDocument/2006/relationships/hyperlink" Target="https://job-boards.greenhouse.io/figureai/jobs/4694889006" TargetMode="External" /><ns0:Relationship Id="rIdHyperlink42" Type="http://schemas.openxmlformats.org/officeDocument/2006/relationships/hyperlink" Target="https://jobs.ashbyhq.com/bedrock-robotics/07b55743-d5c4-4347-bfac-000821317b13" TargetMode="External" /><ns0:Relationship Id="rIdHyperlink43" Type="http://schemas.openxmlformats.org/officeDocument/2006/relationships/hyperlink" Target="https://talent.baidu.com/jobs/detail/INTERN/f8a467f0-2a4a-4238-a21c-412408f85c2e" TargetMode="External" /><ns0:Relationship Id="rIdHyperlink44" Type="http://schemas.openxmlformats.org/officeDocument/2006/relationships/hyperlink" Target="https://careers.amd.com/students/jobs/90993?lang=en-us" TargetMode="External" /><ns0:Relationship Id="rIdHyperlink45" Type="http://schemas.openxmlformats.org/officeDocument/2006/relationships/hyperlink" Target="https://nvidia.wd5.myworkdayjobs.com/NVIDIAExternalCareerSite/job/US-WA-Seattle/Research-Intern--Robotics---Summer-2027_JR2025647" TargetMode="External" /><ns0:Relationship Id="rIdHyperlink46" Type="http://schemas.openxmlformats.org/officeDocument/2006/relationships/hyperlink" Target="https://nvidia.wd5.myworkdayjobs.com/NVIDIAExternalCareerSite/job/US-CA-Santa-Clara/Research-Intern--Physical-AI-Foundation-Models---2027_JR2025103" TargetMode="External" /><ns0:Relationship Id="rIdHyperlink47" Type="http://schemas.openxmlformats.org/officeDocument/2006/relationships/hyperlink" Target="https://jobs.lever.co/tri/186808f9-464c-4f22-9d7d-4372ef272ff0" TargetMode="External" /><ns0:Relationship Id="rIdHyperlink48" Type="http://schemas.openxmlformats.org/officeDocument/2006/relationships/hyperlink" Target="https://jobs.lever.co/zoox/7206fd97-14e4-43a0-b903-ba65dfeee53e" TargetMode="External" /><ns0:Relationship Id="rIdHyperlink49" Type="http://schemas.openxmlformats.org/officeDocument/2006/relationships/hyperlink" Target="https://nvidia.wd5.myworkdayjobs.com/NVIDIAExternalCareerSite/job/US-CA-Santa-Clara/NVIDIA-2027-Internships--Autonomous-Vehicles-and-Robotics_JR2023496" TargetMode="External" /><ns0:Relationship Id="rIdHyperlink50" Type="http://schemas.openxmlformats.org/officeDocument/2006/relationships/hyperlink" Target="https://jobs.apple.com/tr-tr/details/200673612-0836/applied-data-solutions-program-internships-summer-2027?team=STDNT" TargetMode="External" /><ns0:Relationship Id="rIdHyperlink51" Type="http://schemas.openxmlformats.org/officeDocument/2006/relationships/hyperlink" Target="https://jobs.apple.com/en-il/details/200664221-3810/machine-learning-and-artificial-intelligence-masters-internships?team=STDNT" TargetMode="External" /><ns0:Relationship Id="rIdHyperlink52" Type="http://schemas.openxmlformats.org/officeDocument/2006/relationships/hyperlink" Target="https://job-boards.greenhouse.io/apptronik/jobs/6206626004" TargetMode="External" /><ns0:Relationship Id="rIdHyperlink53" Type="http://schemas.openxmlformats.org/officeDocument/2006/relationships/hyperlink" Target="https://seed.bytedance.com/zh/blog/bytedance-seed-2027-foundation-model-campus-recruitment-is-now-open-internships-included" TargetMode="External" /><ns0:Relationship Id="rIdHyperlink54" Type="http://schemas.openxmlformats.org/officeDocument/2006/relationships/hyperlink" Target="https://www.google.com/about/careers/applications/jobs/results/131518356678156998-student-researcher-bsms-wintersummer-2027" TargetMode="External" /><ns0:Relationship Id="rIdHyperlink55" Type="http://schemas.openxmlformats.org/officeDocument/2006/relationships/hyperlink" Target="https://www.amazon.jobs/en/jobs/10529525/software-development-engineer-intern-co-op-robotics-2027" TargetMode="External" /><ns0:Relationship Id="rIdHyperlink56" Type="http://schemas.openxmlformats.org/officeDocument/2006/relationships/hyperlink" Target="https://www.amazon.jobs/en/jobs/10535282/hardware-development-engineer-intern-co-op-robotics-2027" TargetMode="External" /><ns0:Relationship Id="rIdHyperlink57" Type="http://schemas.openxmlformats.org/officeDocument/2006/relationships/hyperlink" Target="https://www.amazon.jobs/en/jobs/10536817/industrial-development-engineer-intern-co-op-robotics-2027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014eff377b0f4a51" /><ns0:Relationship Id="rIdHyperlink1" Type="http://schemas.openxmlformats.org/officeDocument/2006/relationships/hyperlink" Target="https://careers.withwaymo.com/jobs/search" TargetMode="External" /><ns0:Relationship Id="rIdHyperlink2" Type="http://schemas.openxmlformats.org/officeDocument/2006/relationships/hyperlink" Target="https://www.nvidia.com/en-us/about-nvidia/careers/" TargetMode="External" /><ns0:Relationship Id="rIdHyperlink3" Type="http://schemas.openxmlformats.org/officeDocument/2006/relationships/hyperlink" Target="https://www.google.com/about/careers/applications/jobs/results/131518356678156998-student-researcher-bsms-wintersummer-2027" TargetMode="External" /><ns0:Relationship Id="rIdHyperlink4" Type="http://schemas.openxmlformats.org/officeDocument/2006/relationships/hyperlink" Target="https://www.amazon.jobs/en/teams/amazon-robotics" TargetMode="External" /><ns0:Relationship Id="rIdHyperlink5" Type="http://schemas.openxmlformats.org/officeDocument/2006/relationships/hyperlink" Target="https://jobs.ashbyhq.com/bedrock-robotics/" TargetMode="External" /><ns0:Relationship Id="rIdHyperlink6" Type="http://schemas.openxmlformats.org/officeDocument/2006/relationships/hyperlink" Target="https://www.careers.jnj.com/en/early-career-programs/internships/" TargetMode="External" /><ns0:Relationship Id="rIdHyperlink7" Type="http://schemas.openxmlformats.org/officeDocument/2006/relationships/hyperlink" Target="https://corningjobs.corning.com/go/Internships/7688500/" TargetMode="External" /><ns0:Relationship Id="rIdHyperlink8" Type="http://schemas.openxmlformats.org/officeDocument/2006/relationships/hyperlink" Target="https://job-boards.greenhouse.io/neuralink/jobs/5469305003" TargetMode="External" /><ns0:Relationship Id="rIdHyperlink9" Type="http://schemas.openxmlformats.org/officeDocument/2006/relationships/hyperlink" Target="https://jobs.lever.co/tri" TargetMode="External" /><ns0:Relationship Id="rIdHyperlink10" Type="http://schemas.openxmlformats.org/officeDocument/2006/relationships/hyperlink" Target="https://jobs.lever.co/zoox" TargetMode="External" /><ns0:Relationship Id="rIdHyperlink11" Type="http://schemas.openxmlformats.org/officeDocument/2006/relationships/hyperlink" Target="https://job-boards.greenhouse.io/apptronik/jobs/6206626004" TargetMode="External" /><ns0:Relationship Id="rIdHyperlink12" Type="http://schemas.openxmlformats.org/officeDocument/2006/relationships/hyperlink" Target="https://jobs.ashbyhq.com/physicalintelligence/f020ff1a-4b4c-4415-8434-2da5010a7076" TargetMode="External" /><ns0:Relationship Id="rIdHyperlink13" Type="http://schemas.openxmlformats.org/officeDocument/2006/relationships/hyperlink" Target="https://bostondynamics.com/careers/" TargetMode="External" /><ns0:Relationship Id="rIdHyperlink14" Type="http://schemas.openxmlformats.org/officeDocument/2006/relationships/hyperlink" Target="https://job-boards.greenhouse.io/figureai" TargetMode="External" /><ns0:Relationship Id="rIdHyperlink15" Type="http://schemas.openxmlformats.org/officeDocument/2006/relationships/hyperlink" Target="https://www.agilityrobotics.com/careers" TargetMode="External" /><ns0:Relationship Id="rIdHyperlink16" Type="http://schemas.openxmlformats.org/officeDocument/2006/relationships/hyperlink" Target="https://www.intrinsic.ai/careers" TargetMode="External" /><ns0:Relationship Id="rIdHyperlink17" Type="http://schemas.openxmlformats.org/officeDocument/2006/relationships/hyperlink" Target="https://www.1x.tech/careers" TargetMode="External" /><ns0:Relationship Id="rIdHyperlink18" Type="http://schemas.openxmlformats.org/officeDocument/2006/relationships/hyperlink" Target="https://www.skild.ai/career" TargetMode="External" /><ns0:Relationship Id="rIdHyperlink19" Type="http://schemas.openxmlformats.org/officeDocument/2006/relationships/hyperlink" Target="https://www.tesla.com/careers/search/?query=bot" TargetMode="External" /><ns0:Relationship Id="rIdHyperlink20" Type="http://schemas.openxmlformats.org/officeDocument/2006/relationships/hyperlink" Target="https://jobs.apple.com/en-us/search?team=Internships-STDNT-INTRN" TargetMode="External" /><ns0:Relationship Id="rIdHyperlink21" Type="http://schemas.openxmlformats.org/officeDocument/2006/relationships/hyperlink" Target="https://www.metacareers.com/jobs" TargetMode="External" /><ns0:Relationship Id="rIdHyperlink22" Type="http://schemas.openxmlformats.org/officeDocument/2006/relationships/hyperlink" Target="https://careers.microsoft.com/v2/global/en/phdinternship" TargetMode="External" /><ns0:Relationship Id="rIdHyperlink23" Type="http://schemas.openxmlformats.org/officeDocument/2006/relationships/hyperlink" Target="https://careers.qualcomm.com/" TargetMode="External" /><ns0:Relationship Id="rIdHyperlink24" Type="http://schemas.openxmlformats.org/officeDocument/2006/relationships/hyperlink" Target="https://careers.amd.com/students/jobs/90993?lang=en-us" TargetMode="External" /><ns0:Relationship Id="rIdHyperlink25" Type="http://schemas.openxmlformats.org/officeDocument/2006/relationships/hyperlink" Target="https://jobs.intel.com/" TargetMode="External" /><ns0:Relationship Id="rIdHyperlink26" Type="http://schemas.openxmlformats.org/officeDocument/2006/relationships/hyperlink" Target="https://careers.adobe.com/us/en/student" TargetMode="External" /><ns0:Relationship Id="rIdHyperlink27" Type="http://schemas.openxmlformats.org/officeDocument/2006/relationships/hyperlink" Target="https://www.bosch.com/careers/" TargetMode="External" /><ns0:Relationship Id="rIdHyperlink28" Type="http://schemas.openxmlformats.org/officeDocument/2006/relationships/hyperlink" Target="https://seed.bytedance.com/zh/seedearlycareer" TargetMode="External" /><ns0:Relationship Id="rIdHyperlink29" Type="http://schemas.openxmlformats.org/officeDocument/2006/relationships/hyperlink" Target="https://campus-talent.alibaba.com/" TargetMode="External" /><ns0:Relationship Id="rIdHyperlink30" Type="http://schemas.openxmlformats.org/officeDocument/2006/relationships/hyperlink" Target="https://talent.baidu.com/" TargetMode="External" /><ns0:Relationship Id="rIdHyperlink31" Type="http://schemas.openxmlformats.org/officeDocument/2006/relationships/hyperlink" Target="https://careers.tencent.com/zh-cn/search.html?pcid=40005" TargetMode="External" /><ns0:Relationship Id="rIdHyperlink32" Type="http://schemas.openxmlformats.org/officeDocument/2006/relationships/hyperlink" Target="https://career.huawei.com/cn/campus-recruitment" TargetMode="External" /><ns0:Relationship Id="rIdHyperlink33" Type="http://schemas.openxmlformats.org/officeDocument/2006/relationships/hyperlink" Target="https://hr.meituan.com/web/campus?hiringType=4_6" TargetMode="External" /><ns0:Relationship Id="rIdHyperlink34" Type="http://schemas.openxmlformats.org/officeDocument/2006/relationships/hyperlink" Target="https://hr.xiaomi.com/website/opportunities.html" TargetMode="External" /><ns0:Relationship Id="rIdHyperlink35" Type="http://schemas.openxmlformats.org/officeDocument/2006/relationships/hyperlink" Target="https://zhaopin.jd.com/" TargetMode="External" /><ns0:Relationship Id="rIdHyperlink36" Type="http://schemas.openxmlformats.org/officeDocument/2006/relationships/hyperlink" Target="https://www.unitree.com/position/" TargetMode="External" /><ns0:Relationship Id="rIdHyperlink37" Type="http://schemas.openxmlformats.org/officeDocument/2006/relationships/hyperlink" Target="https://www.agibot.com/recruitment/%2A.htm" TargetMode="External" /><ns0:Relationship Id="rIdHyperlink38" Type="http://schemas.openxmlformats.org/officeDocument/2006/relationships/hyperlink" Target="https://galbot.com/about/" TargetMode="External" /><ns0:Relationship Id="rIdHyperlink39" Type="http://schemas.openxmlformats.org/officeDocument/2006/relationships/hyperlink" Target="https://career.limxdynamics.com/index/m/position/7687534113214318884/detail" TargetMode="External" /><ns0:Relationship Id="rIdHyperlink40" Type="http://schemas.openxmlformats.org/officeDocument/2006/relationships/hyperlink" Target="https://campus.pony.ai/" TargetMode="External" /><ns0:Relationship Id="rIdHyperlink41" Type="http://schemas.openxmlformats.org/officeDocument/2006/relationships/hyperlink" Target="https://www.weride.ai/zh/careers" TargetMode="External" /><ns0:Relationship Id="rIdHyperlink42" Type="http://schemas.openxmlformats.org/officeDocument/2006/relationships/hyperlink" Target="https://deeproute.ai/" TargetMode="External" /><ns0:Relationship Id="rIdHyperlink43" Type="http://schemas.openxmlformats.org/officeDocument/2006/relationships/hyperlink" Target="https://we.dji.com/zh-CN/" TargetMode="External" /><ns0:Relationship Id="rIdHyperlink44" Type="http://schemas.openxmlformats.org/officeDocument/2006/relationships/hyperlink" Target="https://www.xiaopeng.com/join.html" TargetMode="External" /><ns0:Relationship Id="rIdHyperlink45" Type="http://schemas.openxmlformats.org/officeDocument/2006/relationships/hyperlink" Target="https://www.lixiang.com/" TargetMode="External" /><ns0:Relationship Id="rIdHyperlink46" Type="http://schemas.openxmlformats.org/officeDocument/2006/relationships/hyperlink" Target="https://careers.midea.com/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d30c1b3e1145e2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E57"/>
  </sheetPr>
  <sheetViews>
    <sheetView showGridLines="0" workbookViewId="0">
      <pane xSplit="3" ySplit="4" topLeftCell="D5" activePane="bottomRight" state="frozen"/>
    </sheetView>
  </sheetViews>
  <sheetFormatPr defaultRowHeight="15"/>
  <cols>
    <col min="1" max="1" width="9" hidden="0" customWidth="1"/>
    <col min="2" max="2" width="11" hidden="0" customWidth="1"/>
    <col min="3" max="3" width="24" hidden="0" customWidth="1"/>
    <col min="4" max="4" width="58" hidden="0" customWidth="1"/>
    <col min="5" max="5" width="9" hidden="0" customWidth="1"/>
    <col min="6" max="6" width="30" hidden="0" customWidth="1"/>
    <col min="7" max="7" width="11" hidden="0" customWidth="1"/>
    <col min="8" max="8" width="34" hidden="0" customWidth="1"/>
    <col min="9" max="9" width="35" hidden="0" customWidth="1"/>
    <col min="10" max="10" width="52" hidden="0" customWidth="1"/>
    <col min="11" max="11" width="48" hidden="0" customWidth="1"/>
    <col min="12" max="12" width="19" hidden="0" customWidth="1"/>
    <col min="13" max="13" width="22" hidden="0" customWidth="1"/>
    <col min="14" max="14" width="60" hidden="0" customWidth="1"/>
    <col min="15" max="15" width="38" hidden="0" customWidth="1"/>
    <col min="16" max="16" width="26" hidden="0" customWidth="1"/>
    <col min="17" max="17" width="40" hidden="0" customWidth="1"/>
    <col min="18" max="18" width="44" hidden="0" customWidth="1"/>
    <col min="19" max="19" width="66" hidden="0" customWidth="1"/>
    <col min="20" max="20" width="70" hidden="0" customWidth="1"/>
    <col min="21" max="21" width="56" hidden="0" customWidth="1"/>
    <col min="22" max="22" width="60" hidden="0" customWidth="1"/>
    <col min="23" max="23" width="70" hidden="0" customWidth="1"/>
    <col min="24" max="24" width="70" hidden="0" customWidth="1"/>
    <col min="25" max="25" width="32" hidden="0" customWidth="1"/>
    <col min="26" max="26" width="42" hidden="0" customWidth="1"/>
    <col min="27" max="27" width="15" hidden="0" customWidth="1"/>
    <col min="28" max="28" width="13" hidden="0" customWidth="1"/>
    <col min="29" max="29" width="45" hidden="0" customWidth="1"/>
    <col min="30" max="30" width="46" hidden="0" customWidth="1"/>
    <col min="31" max="31" width="100" hidden="0" customWidth="1"/>
  </cols>
  <sheetData>
    <row r="1" ht="23" customHeight="1">
      <c r="A1" s="1" t="str">
        <v>2027 暑期实习 · 岗位清单</v>
      </c>
    </row>
    <row r="2" ht="23" customHeight="1">
      <c r="A2" s="2" t="str">
        <v>CMU MSR · Expected 2028 · 约3个月 · 美国优先/中国备选 · 核验 2026-09-29；A仅指学位+季节，不代表全部资格通过</v>
      </c>
    </row>
    <row r="3" ht="23" customHeight="1">
      <c r="A3" t="str">
        <v>记录数</v>
      </c>
      <c r="B3" t="n">
        <f>COUNTA(A5:A61)</f>
        <v>57</v>
      </c>
      <c r="C3" t="str">
        <v>学位+暑期匹配数</v>
      </c>
      <c r="D3" t="n">
        <f>COUNTIF(F5:F61,"A 学位与暑期匹配")</f>
        <v>22</v>
      </c>
      <c r="F3" t="str">
        <v>T=人才/项目池；B=待确认；C=排除/对照</v>
      </c>
    </row>
    <row r="4" ht="34" customHeight="1">
      <c r="A4" s="9" t="str">
        <v>ID</v>
      </c>
      <c r="B4" s="9" t="str">
        <v>优先级</v>
      </c>
      <c r="C4" s="9" t="str">
        <v>公司</v>
      </c>
      <c r="D4" s="9" t="str">
        <v>职位/团队</v>
      </c>
      <c r="E4" s="9" t="str">
        <v>方向</v>
      </c>
      <c r="F4" s="9" t="str">
        <v>筛选结论</v>
      </c>
      <c r="G4" s="9" t="str">
        <v>国家</v>
      </c>
      <c r="H4" s="9" t="str">
        <v>地点/办公方式</v>
      </c>
      <c r="I4" s="9" t="str">
        <v>实习季节</v>
      </c>
      <c r="J4" s="9" t="str">
        <v>时长/日期安排</v>
      </c>
      <c r="K4" s="9" t="str">
        <v>招聘状态</v>
      </c>
      <c r="L4" s="9" t="str">
        <v>日期（按右列解释）</v>
      </c>
      <c r="M4" s="9" t="str">
        <v>日期类型</v>
      </c>
      <c r="N4" s="9" t="str">
        <v>日期说明</v>
      </c>
      <c r="O4" s="9" t="str">
        <v>学位要求</v>
      </c>
      <c r="P4" s="9" t="str">
        <v>PhD要求</v>
      </c>
      <c r="Q4" s="9" t="str">
        <v>毕业年份要求</v>
      </c>
      <c r="R4" s="9" t="str">
        <v>返校要求</v>
      </c>
      <c r="S4" s="9" t="str">
        <v>职责摘要</v>
      </c>
      <c r="T4" s="9" t="str">
        <v>必需技能/条件</v>
      </c>
      <c r="U4" s="9" t="str">
        <v>加分项</v>
      </c>
      <c r="V4" s="9" t="str">
        <v>简历匹配依据</v>
      </c>
      <c r="W4" s="9" t="str">
        <v>缺口/待确认</v>
      </c>
      <c r="X4" s="9" t="str">
        <v>JD工作授权条件（不推断个人）</v>
      </c>
      <c r="Y4" s="9" t="str">
        <v>职位/项目性质</v>
      </c>
      <c r="Z4" s="9" t="str">
        <v>官方岗位编号</v>
      </c>
      <c r="AA4" s="9" t="str">
        <v>核验日期</v>
      </c>
      <c r="AB4" s="9" t="str">
        <v>简历版本</v>
      </c>
      <c r="AC4" s="9" t="str">
        <v>核验层级</v>
      </c>
      <c r="AD4" s="9" t="str">
        <v>发现渠道</v>
      </c>
      <c r="AE4" s="9" t="str">
        <v>官方来源链接</v>
      </c>
    </row>
    <row r="5" ht="46" customHeight="1">
      <c r="A5" s="5" t="str">
        <v>J026</v>
      </c>
      <c r="B5" s="5" t="str">
        <v>P1</v>
      </c>
      <c r="C5" s="5" t="str">
        <v>Corning</v>
      </c>
      <c r="D5" s="5" t="str">
        <v>Vision System Intern — Summer 2027</v>
      </c>
      <c r="E5" s="5" t="str">
        <v>D3</v>
      </c>
      <c r="F5" s="5" t="str">
        <v>A 学位与暑期匹配</v>
      </c>
      <c r="G5" s="5" t="str">
        <v>美国</v>
      </c>
      <c r="H5" s="5" t="str">
        <v>Painted Post, NY</v>
      </c>
      <c r="I5" s="5" t="str">
        <v>2027暑期</v>
      </c>
      <c r="J5" s="5" t="str">
        <v>10周</v>
      </c>
      <c r="K5" s="5" t="str">
        <v>开放：官网JD及申请入口</v>
      </c>
      <c r="L5" s="10"/>
      <c r="M5" s="5" t="str">
        <v>未公布</v>
      </c>
      <c r="N5" s="5" t="str">
        <v>未公布截止，不等于长期有效</v>
      </c>
      <c r="O5" s="5" t="str">
        <v>BS/MS/PhD</v>
      </c>
      <c r="P5" s="5" t="str">
        <v>非必需</v>
      </c>
      <c r="Q5" s="5" t="str">
        <v>2027-12或以后</v>
      </c>
      <c r="R5" s="5" t="str">
        <v>未单独写明</v>
      </c>
      <c r="S5" s="5" t="str">
        <v>2D/3D视觉、相机标定、检测/分割与工业机器人</v>
      </c>
      <c r="T5" s="5" t="str">
        <v>BS/MS/PhD；2027年12月或以后毕业；Python/C#、视觉基础</v>
      </c>
      <c r="U5" s="5" t="str">
        <v>OpenCV/PyTorch/Halcon</v>
      </c>
      <c r="V5" s="5" t="str">
        <v>ASV感知、标定、SAM评测</v>
      </c>
      <c r="W5" s="5" t="str">
        <v>工业视觉/Halcon经验未确认</v>
      </c>
      <c r="X5" s="5" t="str">
        <v>JD写明不支持移民担保</v>
      </c>
      <c r="Y5" s="5" t="str">
        <v>具体岗位</v>
      </c>
      <c r="Z5" s="5" t="str">
        <v>77396</v>
      </c>
      <c r="AA5" s="10" t="n">
        <v>46294</v>
      </c>
      <c r="AB5" s="5" t="str">
        <v>D3</v>
      </c>
      <c r="AC5" s="5" t="str">
        <v>官方正文</v>
      </c>
      <c r="AD5" s="5" t="str">
        <v>人工检索公司官网</v>
      </c>
      <c r="AE5" s="11" t="str">
        <v>https://corningjobs.corning.com/job/Painted-Post-Vision-System-Intern-Summer-2027-NY-14870/1425508200/</v>
      </c>
    </row>
    <row r="6" ht="46" customHeight="1">
      <c r="A6" s="5" t="str">
        <v>J027</v>
      </c>
      <c r="B6" s="5" t="str">
        <v>P1</v>
      </c>
      <c r="C6" s="5" t="str">
        <v>Corning</v>
      </c>
      <c r="D6" s="5" t="str">
        <v>Intern, Advanced Process Controls — Summer 2027</v>
      </c>
      <c r="E6" s="5" t="str">
        <v>D2</v>
      </c>
      <c r="F6" s="5" t="str">
        <v>A 学位与暑期匹配</v>
      </c>
      <c r="G6" s="5" t="str">
        <v>美国</v>
      </c>
      <c r="H6" s="5" t="str">
        <v>Painted Post, NY</v>
      </c>
      <c r="I6" s="5" t="str">
        <v>2027暑期</v>
      </c>
      <c r="J6" s="5" t="str">
        <v>未公布；约3个月可行性待确认</v>
      </c>
      <c r="K6" s="5" t="str">
        <v>开放：官网JD及申请入口</v>
      </c>
      <c r="L6" s="10"/>
      <c r="M6" s="5" t="str">
        <v>未公布</v>
      </c>
      <c r="N6" s="5" t="str">
        <v>未公布截止，不等于长期有效</v>
      </c>
      <c r="O6" s="5" t="str">
        <v>BS/MS/PhD</v>
      </c>
      <c r="P6" s="5" t="str">
        <v>非必需</v>
      </c>
      <c r="Q6" s="5" t="str">
        <v>未指定毕业年份</v>
      </c>
      <c r="R6" s="5" t="str">
        <v>未单独写明</v>
      </c>
      <c r="S6" s="5" t="str">
        <v>模型控制、系统辨识、优化、故障监测</v>
      </c>
      <c r="T6" s="5" t="str">
        <v>BS/MS/PhD；控制/动态系统/统计基础；Python或MATLAB</v>
      </c>
      <c r="U6" s="5" t="str">
        <v>MPC/PID、数值优化</v>
      </c>
      <c r="V6" s="5" t="str">
        <v>Lie-MPC、在线扰动学习、凸优化课程</v>
      </c>
      <c r="W6" s="5" t="str">
        <v>制造过程知识需学习</v>
      </c>
      <c r="X6" s="5" t="str">
        <v>JD写明不支持移民担保</v>
      </c>
      <c r="Y6" s="5" t="str">
        <v>具体岗位</v>
      </c>
      <c r="Z6" s="5" t="str">
        <v>78170</v>
      </c>
      <c r="AA6" s="10" t="n">
        <v>46294</v>
      </c>
      <c r="AB6" s="5" t="str">
        <v>D2</v>
      </c>
      <c r="AC6" s="5" t="str">
        <v>官方正文</v>
      </c>
      <c r="AD6" s="5" t="str">
        <v>人工检索公司官网</v>
      </c>
      <c r="AE6" s="11" t="str">
        <v>https://corningjobs.corning.com/job/Painted-Post-Intern,-Advanced-Process-Controls-Summer-2027-NY-14870/1432275700/</v>
      </c>
    </row>
    <row r="7" ht="46" customHeight="1">
      <c r="A7" s="5" t="str">
        <v>J023</v>
      </c>
      <c r="B7" s="5" t="str">
        <v>P1</v>
      </c>
      <c r="C7" s="5" t="str">
        <v>Johnson &amp; Johnson</v>
      </c>
      <c r="D7" s="5" t="str">
        <v>Robotics Controls &amp; Autonomy Intern — Robotics R&amp;D</v>
      </c>
      <c r="E7" s="5" t="str">
        <v>D2</v>
      </c>
      <c r="F7" s="5" t="str">
        <v>A 学位与暑期匹配</v>
      </c>
      <c r="G7" s="5" t="str">
        <v>美国</v>
      </c>
      <c r="H7" s="5" t="str">
        <v>Santa Clara, CA（Hybrid）</v>
      </c>
      <c r="I7" s="5" t="str">
        <v>2027暑期</v>
      </c>
      <c r="J7" s="5" t="str">
        <v>2027-06-01至08-20，或06-21至09-10；40h/周</v>
      </c>
      <c r="K7" s="5" t="str">
        <v>开放：官网JD及申请入口</v>
      </c>
      <c r="L7" s="10" t="n">
        <v>46312</v>
      </c>
      <c r="M7" s="5" t="str">
        <v>预计关闭日期</v>
      </c>
      <c r="N7" s="5" t="str">
        <v>预计2026-10-17；公司明确可能延长</v>
      </c>
      <c r="O7" s="5" t="str">
        <v>本科/硕士/博士</v>
      </c>
      <c r="P7" s="5" t="str">
        <v>非必需</v>
      </c>
      <c r="Q7" s="5" t="str">
        <v>未指定毕业年份</v>
      </c>
      <c r="R7" s="5" t="str">
        <v>实习结束后返校</v>
      </c>
      <c r="S7" s="5" t="str">
        <v>运动学、控制/自主算法及实时软件验证</v>
      </c>
      <c r="T7" s="5" t="str">
        <v>相关BS/研究生在读；GPA≥3.0、C++/控制</v>
      </c>
      <c r="U7" s="5" t="str">
        <v>机器人、优化、系统集成</v>
      </c>
      <c r="V7" s="5" t="str">
        <v>Lie-MPC实船20%改善、CMU安全研究</v>
      </c>
      <c r="W7" s="5" t="str">
        <v>医疗器械实时标准；JD授权条件须单独核对</v>
      </c>
      <c r="X7" s="5" t="str">
        <v>JD明确永久美国工作授权且不提供现在/未来担保；不推断个人状态</v>
      </c>
      <c r="Y7" s="5" t="str">
        <v>Robotics R&amp;D职能招聘轨道</v>
      </c>
      <c r="Z7" s="5" t="str">
        <v>R-099654</v>
      </c>
      <c r="AA7" s="10" t="n">
        <v>46294</v>
      </c>
      <c r="AB7" s="5" t="str">
        <v>D2</v>
      </c>
      <c r="AC7" s="5" t="str">
        <v>官方正文</v>
      </c>
      <c r="AD7" s="5" t="str">
        <v>CMU Handshake邮件（Controls）/官网</v>
      </c>
      <c r="AE7" s="11" t="str">
        <v>https://www.careers.jnj.com/ja-jp/jobs/r-099654/robotics-controls-autonomy-intern-robotics-rd/</v>
      </c>
    </row>
    <row r="8" ht="46" customHeight="1">
      <c r="A8" s="5" t="str">
        <v>J024</v>
      </c>
      <c r="B8" s="5" t="str">
        <v>P1</v>
      </c>
      <c r="C8" s="5" t="str">
        <v>Johnson &amp; Johnson</v>
      </c>
      <c r="D8" s="5" t="str">
        <v>Systems &amp; Simulation Engineering Intern — Robotics R&amp;D</v>
      </c>
      <c r="E8" s="5" t="str">
        <v>D5</v>
      </c>
      <c r="F8" s="5" t="str">
        <v>A 学位与暑期匹配</v>
      </c>
      <c r="G8" s="5" t="str">
        <v>美国</v>
      </c>
      <c r="H8" s="5" t="str">
        <v>Santa Clara, CA（Hybrid）</v>
      </c>
      <c r="I8" s="5" t="str">
        <v>2027暑期</v>
      </c>
      <c r="J8" s="5" t="str">
        <v>2027-06-01至08-20，或06-21至09-10；40h/周</v>
      </c>
      <c r="K8" s="5" t="str">
        <v>开放：官网JD及申请入口</v>
      </c>
      <c r="L8" s="10" t="n">
        <v>46312</v>
      </c>
      <c r="M8" s="5" t="str">
        <v>预计关闭日期</v>
      </c>
      <c r="N8" s="5" t="str">
        <v>预计2026-10-17；公司明确可能延长</v>
      </c>
      <c r="O8" s="5" t="str">
        <v>本科/硕士/博士</v>
      </c>
      <c r="P8" s="5" t="str">
        <v>非必需</v>
      </c>
      <c r="Q8" s="5" t="str">
        <v>未指定毕业年份</v>
      </c>
      <c r="R8" s="5" t="str">
        <v>实习结束后返校</v>
      </c>
      <c r="S8" s="5" t="str">
        <v>系统建模、仿真、需求追溯、实验相关性验证</v>
      </c>
      <c r="T8" s="5" t="str">
        <v>BS高年级或研究生；GPA≥3.0、工程分析</v>
      </c>
      <c r="U8" s="5" t="str">
        <v>MATLAB/Simulink/ANSYS等、Python/C++、MBSE</v>
      </c>
      <c r="V8" s="5" t="str">
        <v>Unity/AirSim、机器人仿真与硬件闭环</v>
      </c>
      <c r="W8" s="5" t="str">
        <v>SysML/JAMA/DOORS等未证明</v>
      </c>
      <c r="X8" s="5" t="str">
        <v>入职及任职期间需美国工作授权</v>
      </c>
      <c r="Y8" s="5" t="str">
        <v>Robotics R&amp;D职能招聘轨道</v>
      </c>
      <c r="Z8" s="5" t="str">
        <v>R-100027</v>
      </c>
      <c r="AA8" s="10" t="n">
        <v>46294</v>
      </c>
      <c r="AB8" s="5" t="str">
        <v>D5</v>
      </c>
      <c r="AC8" s="5" t="str">
        <v>官方正文</v>
      </c>
      <c r="AD8" s="5" t="str">
        <v>CMU Handshake邮件（Controls）/官网</v>
      </c>
      <c r="AE8" s="11" t="str">
        <v>https://www.careers.jnj.com/es-la/jobs/r-100027/systems-simulation-engineering-intern-robotics-rd/</v>
      </c>
    </row>
    <row r="9" ht="46" customHeight="1">
      <c r="A9" s="5" t="str">
        <v>J025</v>
      </c>
      <c r="B9" s="5" t="str">
        <v>P1</v>
      </c>
      <c r="C9" s="5" t="str">
        <v>Johnson &amp; Johnson</v>
      </c>
      <c r="D9" s="5" t="str">
        <v>Software Engineering Intern — Robotics R&amp;D</v>
      </c>
      <c r="E9" s="5" t="str">
        <v>D5</v>
      </c>
      <c r="F9" s="5" t="str">
        <v>A 学位与暑期匹配</v>
      </c>
      <c r="G9" s="5" t="str">
        <v>美国</v>
      </c>
      <c r="H9" s="5" t="str">
        <v>Santa Clara, CA（Hybrid）</v>
      </c>
      <c r="I9" s="5" t="str">
        <v>2027暑期</v>
      </c>
      <c r="J9" s="5" t="str">
        <v>2027-06-01至08-20，或06-21至09-10；40h/周</v>
      </c>
      <c r="K9" s="5" t="str">
        <v>开放：官网JD及申请入口</v>
      </c>
      <c r="L9" s="10" t="n">
        <v>46312</v>
      </c>
      <c r="M9" s="5" t="str">
        <v>预计关闭日期</v>
      </c>
      <c r="N9" s="5" t="str">
        <v>预计2026-10-17；公司明确可能延长</v>
      </c>
      <c r="O9" s="5" t="str">
        <v>本科/硕士/博士</v>
      </c>
      <c r="P9" s="5" t="str">
        <v>非必需</v>
      </c>
      <c r="Q9" s="5" t="str">
        <v>未指定毕业年份</v>
      </c>
      <c r="R9" s="5" t="str">
        <v>实习结束后返校</v>
      </c>
      <c r="S9" s="5" t="str">
        <v>机器人手术软件、测试与可靠性开发</v>
      </c>
      <c r="T9" s="5" t="str">
        <v>BS/研究生/PhD在读；GPA≥3.0；相关工程专业</v>
      </c>
      <c r="U9" s="5" t="str">
        <v>跨学科开发、质量与网络安全</v>
      </c>
      <c r="V9" s="5" t="str">
        <v>ROS2、跨平台策略软件、手术视觉</v>
      </c>
      <c r="W9" s="5" t="str">
        <v>医疗软件合规工程经验未证明</v>
      </c>
      <c r="X9" s="5" t="str">
        <v>入职及任职期间需美国工作授权</v>
      </c>
      <c r="Y9" s="5" t="str">
        <v>Robotics R&amp;D职能招聘轨道</v>
      </c>
      <c r="Z9" s="5" t="str">
        <v>R-099919</v>
      </c>
      <c r="AA9" s="10" t="n">
        <v>46294</v>
      </c>
      <c r="AB9" s="5" t="str">
        <v>D5</v>
      </c>
      <c r="AC9" s="5" t="str">
        <v>官方正文</v>
      </c>
      <c r="AD9" s="5" t="str">
        <v>CMU Handshake邮件（Controls）/官网</v>
      </c>
      <c r="AE9" s="11" t="str">
        <v>https://www.careers.jnj.com/fr-ca/jobs/r-099919/software-engineering-intern-robotics-rd/</v>
      </c>
    </row>
    <row r="10" ht="46" customHeight="1">
      <c r="A10" s="5" t="str">
        <v>J001</v>
      </c>
      <c r="B10" s="5" t="str">
        <v>P1</v>
      </c>
      <c r="C10" s="5" t="str">
        <v>Waymo</v>
      </c>
      <c r="D10" s="5" t="str">
        <v>2027 Summer Intern — Machine Learning, Simulator Evaluation</v>
      </c>
      <c r="E10" s="5" t="str">
        <v>D5</v>
      </c>
      <c r="F10" s="5" t="str">
        <v>A 学位与暑期匹配</v>
      </c>
      <c r="G10" s="5" t="str">
        <v>美国</v>
      </c>
      <c r="H10" s="5" t="str">
        <v>Mountain View, CA</v>
      </c>
      <c r="I10" s="5" t="str">
        <v>2027暑期</v>
      </c>
      <c r="J10" s="5" t="str">
        <v>未公布；约3个月可行性待确认</v>
      </c>
      <c r="K10" s="5" t="str">
        <v>开放：官网JD及申请入口</v>
      </c>
      <c r="L10" s="10"/>
      <c r="M10" s="5" t="str">
        <v>滚动</v>
      </c>
      <c r="N10" s="5" t="str">
        <v>官方写明岗位填满为止；每人建议最多申请3个岗位</v>
      </c>
      <c r="O10" s="5" t="str">
        <v>MS/PhD</v>
      </c>
      <c r="P10" s="5" t="str">
        <v>非必需</v>
      </c>
      <c r="Q10" s="5" t="str">
        <v>未指定毕业年份</v>
      </c>
      <c r="R10" s="5" t="str">
        <v>未单独写明</v>
      </c>
      <c r="S10" s="5" t="str">
        <v>仿真器评测指标与数据分析、模型质量评估</v>
      </c>
      <c r="T10" s="5" t="str">
        <v>Python、SQL、ML评测</v>
      </c>
      <c r="U10" s="5" t="str">
        <v>机器人/自动驾驶、后端系统</v>
      </c>
      <c r="V10" s="5" t="str">
        <v>Unitree 8任务24场景评测；真机日志</v>
      </c>
      <c r="W10" s="5" t="str">
        <v>SQL及大规模评测后端证据不足</v>
      </c>
      <c r="X10" s="5" t="str">
        <v>正文未明确；不推断个人资格</v>
      </c>
      <c r="Y10" s="5" t="str">
        <v>具体岗位</v>
      </c>
      <c r="Z10" s="5" t="str">
        <v>5408</v>
      </c>
      <c r="AA10" s="10" t="n">
        <v>46294</v>
      </c>
      <c r="AB10" s="5" t="str">
        <v>D5</v>
      </c>
      <c r="AC10" s="5" t="str">
        <v>官方正文</v>
      </c>
      <c r="AD10" s="5" t="str">
        <v>人工检索公司官网</v>
      </c>
      <c r="AE10" s="11" t="str">
        <v>https://careers.withwaymo.com/jobs/2027-summer-intern-ms-phd-machine-learning-simulator-evaluation-mountain-view-california-united-states</v>
      </c>
    </row>
    <row r="11" ht="46" customHeight="1">
      <c r="A11" s="5" t="str">
        <v>J002</v>
      </c>
      <c r="B11" s="5" t="str">
        <v>P1</v>
      </c>
      <c r="C11" s="5" t="str">
        <v>Waymo</v>
      </c>
      <c r="D11" s="5" t="str">
        <v>2027 Summer Intern — Software Engineering, Behavior Test</v>
      </c>
      <c r="E11" s="5" t="str">
        <v>D5</v>
      </c>
      <c r="F11" s="5" t="str">
        <v>A 学位与暑期匹配</v>
      </c>
      <c r="G11" s="5" t="str">
        <v>美国</v>
      </c>
      <c r="H11" s="5" t="str">
        <v>San Francisco, CA</v>
      </c>
      <c r="I11" s="5" t="str">
        <v>2027暑期</v>
      </c>
      <c r="J11" s="5" t="str">
        <v>未公布；约3个月可行性待确认</v>
      </c>
      <c r="K11" s="5" t="str">
        <v>开放：官网JD及申请入口</v>
      </c>
      <c r="L11" s="10"/>
      <c r="M11" s="5" t="str">
        <v>滚动</v>
      </c>
      <c r="N11" s="5" t="str">
        <v>官方写明岗位填满为止；每人建议最多申请3个岗位</v>
      </c>
      <c r="O11" s="5" t="str">
        <v>MS</v>
      </c>
      <c r="P11" s="5" t="str">
        <v>非必需</v>
      </c>
      <c r="Q11" s="5" t="str">
        <v>未指定毕业年份</v>
      </c>
      <c r="R11" s="5" t="str">
        <v>未单独写明</v>
      </c>
      <c r="S11" s="5" t="str">
        <v>异常/故障与远程辅助行为验证，指标和分析工具</v>
      </c>
      <c r="T11" s="5" t="str">
        <v>Python、SQL、统计数据分析</v>
      </c>
      <c r="U11" s="5" t="str">
        <v>测试工具、数据管道</v>
      </c>
      <c r="V11" s="5" t="str">
        <v>真机闭环评测、ROS2测试平台</v>
      </c>
      <c r="W11" s="5" t="str">
        <v>故障注入和SQL需补作品证据</v>
      </c>
      <c r="X11" s="5" t="str">
        <v>正文未明确；不推断个人资格</v>
      </c>
      <c r="Y11" s="5" t="str">
        <v>具体岗位</v>
      </c>
      <c r="Z11" s="5" t="str">
        <v>5361</v>
      </c>
      <c r="AA11" s="10" t="n">
        <v>46294</v>
      </c>
      <c r="AB11" s="5" t="str">
        <v>D5</v>
      </c>
      <c r="AC11" s="5" t="str">
        <v>官方正文</v>
      </c>
      <c r="AD11" s="5" t="str">
        <v>人工检索公司官网</v>
      </c>
      <c r="AE11" s="11" t="str">
        <v>https://careers.withwaymo.com/jobs/2027-summer-intern-ms-software-engineering-behavior-test-san-francisco-california-united-states</v>
      </c>
    </row>
    <row r="12" ht="46" customHeight="1">
      <c r="A12" s="5" t="str">
        <v>J004</v>
      </c>
      <c r="B12" s="5" t="str">
        <v>P1</v>
      </c>
      <c r="C12" s="5" t="str">
        <v>Waymo</v>
      </c>
      <c r="D12" s="5" t="str">
        <v>2027 Summer Intern — Road Understanding ML Engineer</v>
      </c>
      <c r="E12" s="5" t="str">
        <v>D4</v>
      </c>
      <c r="F12" s="5" t="str">
        <v>A 学位与暑期匹配</v>
      </c>
      <c r="G12" s="5" t="str">
        <v>美国</v>
      </c>
      <c r="H12" s="5" t="str">
        <v>Mountain View, CA</v>
      </c>
      <c r="I12" s="5" t="str">
        <v>2027暑期</v>
      </c>
      <c r="J12" s="5" t="str">
        <v>未公布；约3个月可行性待确认</v>
      </c>
      <c r="K12" s="5" t="str">
        <v>开放：官网JD及申请入口</v>
      </c>
      <c r="L12" s="10"/>
      <c r="M12" s="5" t="str">
        <v>滚动</v>
      </c>
      <c r="N12" s="5" t="str">
        <v>官方写明岗位填满为止；每人建议最多申请3个岗位</v>
      </c>
      <c r="O12" s="5" t="str">
        <v>MS/PhD</v>
      </c>
      <c r="P12" s="5" t="str">
        <v>非必需</v>
      </c>
      <c r="Q12" s="5" t="str">
        <v>未指定毕业年份</v>
      </c>
      <c r="R12" s="5" t="str">
        <v>未单独写明</v>
      </c>
      <c r="S12" s="5" t="str">
        <v>道路几何/拓扑建模及感知训练评测</v>
      </c>
      <c r="T12" s="5" t="str">
        <v>Python、PyTorch、3D几何、Transformer</v>
      </c>
      <c r="U12" s="5" t="str">
        <v>DETR/GNN/BEV、HD地图、分布式训练</v>
      </c>
      <c r="V12" s="5" t="str">
        <v>ASV感知、机器人空间标定</v>
      </c>
      <c r="W12" s="5" t="str">
        <v>缺道路建图/BEV项目证据</v>
      </c>
      <c r="X12" s="5" t="str">
        <v>正文未明确；不推断个人资格</v>
      </c>
      <c r="Y12" s="5" t="str">
        <v>具体岗位</v>
      </c>
      <c r="Z12" s="5" t="str">
        <v>5452</v>
      </c>
      <c r="AA12" s="10" t="n">
        <v>46294</v>
      </c>
      <c r="AB12" s="5" t="str">
        <v>D4</v>
      </c>
      <c r="AC12" s="5" t="str">
        <v>官方正文</v>
      </c>
      <c r="AD12" s="5" t="str">
        <v>人工检索公司官网</v>
      </c>
      <c r="AE12" s="11" t="str">
        <v>https://careers.withwaymo.com/jobs/2027-summer-intern-ms-phd-road-understanding-ml-engineer-mountain-view-california-united-states</v>
      </c>
    </row>
    <row r="13" ht="46" customHeight="1">
      <c r="A13" s="5" t="str">
        <v>J005</v>
      </c>
      <c r="B13" s="5" t="str">
        <v>P1</v>
      </c>
      <c r="C13" s="5" t="str">
        <v>Waymo</v>
      </c>
      <c r="D13" s="5" t="str">
        <v>2027 Summer Intern — Multiverse SWE</v>
      </c>
      <c r="E13" s="5" t="str">
        <v>D5</v>
      </c>
      <c r="F13" s="5" t="str">
        <v>A 学位与暑期匹配</v>
      </c>
      <c r="G13" s="5" t="str">
        <v>美国</v>
      </c>
      <c r="H13" s="5" t="str">
        <v>Mountain View, CA</v>
      </c>
      <c r="I13" s="5" t="str">
        <v>2027暑期</v>
      </c>
      <c r="J13" s="5" t="str">
        <v>未公布；约3个月可行性待确认</v>
      </c>
      <c r="K13" s="5" t="str">
        <v>开放：官网JD及申请入口</v>
      </c>
      <c r="L13" s="10"/>
      <c r="M13" s="5" t="str">
        <v>滚动</v>
      </c>
      <c r="N13" s="5" t="str">
        <v>官方写明岗位填满为止；每人建议最多申请3个岗位</v>
      </c>
      <c r="O13" s="5" t="str">
        <v>MS/PhD</v>
      </c>
      <c r="P13" s="5" t="str">
        <v>非必需</v>
      </c>
      <c r="Q13" s="5" t="str">
        <v>未指定毕业年份</v>
      </c>
      <c r="R13" s="5" t="str">
        <v>未单独写明</v>
      </c>
      <c r="S13" s="5" t="str">
        <v>日志聚类及不良驾驶行为检测、自动分析管道</v>
      </c>
      <c r="T13" s="5" t="str">
        <v>C++、Python、SQL</v>
      </c>
      <c r="U13" s="5" t="str">
        <v>ML训练评测、分布式系统、agent原型</v>
      </c>
      <c r="V13" s="5" t="str">
        <v>rollout日志与跨平台基础设施</v>
      </c>
      <c r="W13" s="5" t="str">
        <v>SQL/分布式规模未证明</v>
      </c>
      <c r="X13" s="5" t="str">
        <v>正文未明确；不推断个人资格</v>
      </c>
      <c r="Y13" s="5" t="str">
        <v>具体岗位</v>
      </c>
      <c r="Z13" s="5" t="str">
        <v>5433</v>
      </c>
      <c r="AA13" s="10" t="n">
        <v>46294</v>
      </c>
      <c r="AB13" s="5" t="str">
        <v>D5</v>
      </c>
      <c r="AC13" s="5" t="str">
        <v>官方正文</v>
      </c>
      <c r="AD13" s="5" t="str">
        <v>人工检索公司官网</v>
      </c>
      <c r="AE13" s="11" t="str">
        <v>https://careers.withwaymo.com/jobs/2027-summer-intern-ms-phd-software-engineer-multiverse-mountain-view-california-united-states</v>
      </c>
    </row>
    <row r="14" ht="46" customHeight="1">
      <c r="A14" s="5" t="str">
        <v>J006</v>
      </c>
      <c r="B14" s="5" t="str">
        <v>P1</v>
      </c>
      <c r="C14" s="5" t="str">
        <v>Waymo</v>
      </c>
      <c r="D14" s="5" t="str">
        <v>2027 Summer Intern — Embedded Software Engineer</v>
      </c>
      <c r="E14" s="5" t="str">
        <v>D5</v>
      </c>
      <c r="F14" s="5" t="str">
        <v>A 学位与暑期匹配</v>
      </c>
      <c r="G14" s="5" t="str">
        <v>美国</v>
      </c>
      <c r="H14" s="5" t="str">
        <v>Mountain View, CA</v>
      </c>
      <c r="I14" s="5" t="str">
        <v>2027暑期</v>
      </c>
      <c r="J14" s="5" t="str">
        <v>未公布；约3个月可行性待确认</v>
      </c>
      <c r="K14" s="5" t="str">
        <v>开放：官网JD及申请入口</v>
      </c>
      <c r="L14" s="10"/>
      <c r="M14" s="5" t="str">
        <v>滚动</v>
      </c>
      <c r="N14" s="5" t="str">
        <v>官方写明岗位填满为止；每人建议最多申请3个岗位</v>
      </c>
      <c r="O14" s="5" t="str">
        <v>BS/MS</v>
      </c>
      <c r="P14" s="5" t="str">
        <v>非必需</v>
      </c>
      <c r="Q14" s="5" t="str">
        <v>未指定毕业年份</v>
      </c>
      <c r="R14" s="5" t="str">
        <v>未单独写明</v>
      </c>
      <c r="S14" s="5" t="str">
        <v>固件与software-in-the-loop测试、嵌入式集成</v>
      </c>
      <c r="T14" s="5" t="str">
        <v>C/C++、Linux、Git、数据结构</v>
      </c>
      <c r="U14" s="5" t="str">
        <v>RTOS、gtest、板级调试</v>
      </c>
      <c r="V14" s="5" t="str">
        <v>嵌入式课程、传感器和控制接口</v>
      </c>
      <c r="W14" s="5" t="str">
        <v>RTOS/固件深度缺证据</v>
      </c>
      <c r="X14" s="5" t="str">
        <v>正文未明确；不推断个人资格</v>
      </c>
      <c r="Y14" s="5" t="str">
        <v>具体岗位</v>
      </c>
      <c r="Z14" s="5" t="str">
        <v>5438</v>
      </c>
      <c r="AA14" s="10" t="n">
        <v>46294</v>
      </c>
      <c r="AB14" s="5" t="str">
        <v>D5</v>
      </c>
      <c r="AC14" s="5" t="str">
        <v>官方正文</v>
      </c>
      <c r="AD14" s="5" t="str">
        <v>人工检索公司官网</v>
      </c>
      <c r="AE14" s="11" t="str">
        <v>https://careers.withwaymo.com/jobs/2027-summer-intern-bs-ms-embedded-software-engineer-mountain-view-california-united-states</v>
      </c>
    </row>
    <row r="15" ht="46" customHeight="1">
      <c r="A15" s="5" t="str">
        <v>J007</v>
      </c>
      <c r="B15" s="5" t="str">
        <v>P1</v>
      </c>
      <c r="C15" s="5" t="str">
        <v>Waymo</v>
      </c>
      <c r="D15" s="5" t="str">
        <v>2027 Summer Intern — Maneuvering Tech</v>
      </c>
      <c r="E15" s="5" t="str">
        <v>D4</v>
      </c>
      <c r="F15" s="5" t="str">
        <v>A 学位与暑期匹配</v>
      </c>
      <c r="G15" s="5" t="str">
        <v>美国</v>
      </c>
      <c r="H15" s="5" t="str">
        <v>San Francisco, CA</v>
      </c>
      <c r="I15" s="5" t="str">
        <v>2027暑期</v>
      </c>
      <c r="J15" s="5" t="str">
        <v>未公布；约3个月可行性待确认</v>
      </c>
      <c r="K15" s="5" t="str">
        <v>开放：官网JD及申请入口</v>
      </c>
      <c r="L15" s="10"/>
      <c r="M15" s="5" t="str">
        <v>滚动</v>
      </c>
      <c r="N15" s="5" t="str">
        <v>官方写明岗位填满为止；每人建议最多申请3个岗位</v>
      </c>
      <c r="O15" s="5" t="str">
        <v>BS/MS</v>
      </c>
      <c r="P15" s="5" t="str">
        <v>非必需</v>
      </c>
      <c r="Q15" s="5" t="str">
        <v>未指定毕业年份</v>
      </c>
      <c r="R15" s="5" t="str">
        <v>未单独写明</v>
      </c>
      <c r="S15" s="5" t="str">
        <v>场站驾驶行为、失败日志及感知评估</v>
      </c>
      <c r="T15" s="5" t="str">
        <v>C++、软件工程</v>
      </c>
      <c r="U15" s="5" t="str">
        <v>图搜索、优化规划、Python/SQL</v>
      </c>
      <c r="V15" s="5" t="str">
        <v>多机器人探索与规划、实船控制</v>
      </c>
      <c r="W15" s="5" t="str">
        <v>自动驾驶场景及生产C++需补</v>
      </c>
      <c r="X15" s="5" t="str">
        <v>正文未明确；不推断个人资格</v>
      </c>
      <c r="Y15" s="5" t="str">
        <v>具体岗位</v>
      </c>
      <c r="Z15" s="5" t="str">
        <v>5411</v>
      </c>
      <c r="AA15" s="10" t="n">
        <v>46294</v>
      </c>
      <c r="AB15" s="5" t="str">
        <v>D4</v>
      </c>
      <c r="AC15" s="5" t="str">
        <v>官方正文</v>
      </c>
      <c r="AD15" s="5" t="str">
        <v>人工检索公司官网</v>
      </c>
      <c r="AE15" s="11" t="str">
        <v>https://careers.withwaymo.com/jobs/2027-summer-intern-bs-ms-software-engineering-maneuvering-tech-san-francisco-california-united-states</v>
      </c>
    </row>
    <row r="16" ht="46" customHeight="1">
      <c r="A16" s="5" t="str">
        <v>J008</v>
      </c>
      <c r="B16" s="5" t="str">
        <v>P1</v>
      </c>
      <c r="C16" s="5" t="str">
        <v>Waymo</v>
      </c>
      <c r="D16" s="5" t="str">
        <v>2027 Summer Intern — Pipeline Test Health</v>
      </c>
      <c r="E16" s="5" t="str">
        <v>D5</v>
      </c>
      <c r="F16" s="5" t="str">
        <v>A 学位与暑期匹配</v>
      </c>
      <c r="G16" s="5" t="str">
        <v>美国</v>
      </c>
      <c r="H16" s="5" t="str">
        <v>San Francisco, CA</v>
      </c>
      <c r="I16" s="5" t="str">
        <v>2027暑期</v>
      </c>
      <c r="J16" s="5" t="str">
        <v>未公布；约3个月可行性待确认</v>
      </c>
      <c r="K16" s="5" t="str">
        <v>开放：官网JD及申请入口</v>
      </c>
      <c r="L16" s="10"/>
      <c r="M16" s="5" t="str">
        <v>滚动</v>
      </c>
      <c r="N16" s="5" t="str">
        <v>官方写明岗位填满为止；每人建议最多申请3个岗位</v>
      </c>
      <c r="O16" s="5" t="str">
        <v>BS/MS</v>
      </c>
      <c r="P16" s="5" t="str">
        <v>非必需</v>
      </c>
      <c r="Q16" s="5" t="str">
        <v>未指定毕业年份</v>
      </c>
      <c r="R16" s="5" t="str">
        <v>未单独写明</v>
      </c>
      <c r="S16" s="5" t="str">
        <v>关键仿真测试自动化及测试健康度</v>
      </c>
      <c r="T16" s="5" t="str">
        <v>Python/C++、复杂系统调试</v>
      </c>
      <c r="U16" s="5" t="str">
        <v>SRE/SLO、SQL</v>
      </c>
      <c r="V16" s="5" t="str">
        <v>Unity/AirSim、ROS2及复现流程</v>
      </c>
      <c r="W16" s="5" t="str">
        <v>缺服务可靠性/SLO经验</v>
      </c>
      <c r="X16" s="5" t="str">
        <v>正文未明确；不推断个人资格</v>
      </c>
      <c r="Y16" s="5" t="str">
        <v>具体岗位</v>
      </c>
      <c r="Z16" s="5" t="str">
        <v>5365</v>
      </c>
      <c r="AA16" s="10" t="n">
        <v>46294</v>
      </c>
      <c r="AB16" s="5" t="str">
        <v>D5</v>
      </c>
      <c r="AC16" s="5" t="str">
        <v>官方正文</v>
      </c>
      <c r="AD16" s="5" t="str">
        <v>人工检索公司官网</v>
      </c>
      <c r="AE16" s="11" t="str">
        <v>https://careers.withwaymo.com/jobs/2027-summer-intern-bs-ms-pipeline-and-test-health-engineer-san-francisco-california-united-states</v>
      </c>
    </row>
    <row r="17" ht="46" customHeight="1">
      <c r="A17" s="5" t="str">
        <v>J009</v>
      </c>
      <c r="B17" s="5" t="str">
        <v>P1</v>
      </c>
      <c r="C17" s="5" t="str">
        <v>Waymo</v>
      </c>
      <c r="D17" s="5" t="str">
        <v>2027 Summer Intern — Scenes</v>
      </c>
      <c r="E17" s="5" t="str">
        <v>D1</v>
      </c>
      <c r="F17" s="5" t="str">
        <v>A 学位与暑期匹配</v>
      </c>
      <c r="G17" s="5" t="str">
        <v>美国</v>
      </c>
      <c r="H17" s="5" t="str">
        <v>Mountain View, CA</v>
      </c>
      <c r="I17" s="5" t="str">
        <v>2027暑期</v>
      </c>
      <c r="J17" s="5" t="str">
        <v>未公布；约3个月可行性待确认</v>
      </c>
      <c r="K17" s="5" t="str">
        <v>开放：官网JD及申请入口</v>
      </c>
      <c r="L17" s="10"/>
      <c r="M17" s="5" t="str">
        <v>滚动</v>
      </c>
      <c r="N17" s="5" t="str">
        <v>官方写明岗位填满为止；每人建议最多申请3个岗位</v>
      </c>
      <c r="O17" s="5" t="str">
        <v>BS/MS</v>
      </c>
      <c r="P17" s="5" t="str">
        <v>非必需</v>
      </c>
      <c r="Q17" s="5" t="str">
        <v>未指定毕业年份</v>
      </c>
      <c r="R17" s="5" t="str">
        <v>未单独写明</v>
      </c>
      <c r="S17" s="5" t="str">
        <v>大型ML模型上车集成与实时行为系统</v>
      </c>
      <c r="T17" s="5" t="str">
        <v>Python/C++、数据结构</v>
      </c>
      <c r="U17" s="5" t="str">
        <v>ML/CV/规划</v>
      </c>
      <c r="V17" s="5" t="str">
        <v>Unitree模型部署、策略与控制接口</v>
      </c>
      <c r="W17" s="5" t="str">
        <v>汽车软件栈和生产质量要求</v>
      </c>
      <c r="X17" s="5" t="str">
        <v>正文未明确；不推断个人资格</v>
      </c>
      <c r="Y17" s="5" t="str">
        <v>具体岗位</v>
      </c>
      <c r="Z17" s="5" t="str">
        <v>5422</v>
      </c>
      <c r="AA17" s="10" t="n">
        <v>46294</v>
      </c>
      <c r="AB17" s="5" t="str">
        <v>D1</v>
      </c>
      <c r="AC17" s="5" t="str">
        <v>官方正文</v>
      </c>
      <c r="AD17" s="5" t="str">
        <v>人工检索公司官网</v>
      </c>
      <c r="AE17" s="11" t="str">
        <v>https://careers.withwaymo.com/jobs/2027-summer-intern-bs-ms-scenes-mountain-view-california-united-states</v>
      </c>
    </row>
    <row r="18" ht="46" customHeight="1">
      <c r="A18" s="5" t="str">
        <v>J010</v>
      </c>
      <c r="B18" s="5" t="str">
        <v>P1</v>
      </c>
      <c r="C18" s="5" t="str">
        <v>Waymo</v>
      </c>
      <c r="D18" s="5" t="str">
        <v>2027 Summer Intern — Conflict Behavior</v>
      </c>
      <c r="E18" s="5" t="str">
        <v>D2</v>
      </c>
      <c r="F18" s="5" t="str">
        <v>A 学位与暑期匹配</v>
      </c>
      <c r="G18" s="5" t="str">
        <v>美国</v>
      </c>
      <c r="H18" s="5" t="str">
        <v>Mountain View, CA</v>
      </c>
      <c r="I18" s="5" t="str">
        <v>2027暑期</v>
      </c>
      <c r="J18" s="5" t="str">
        <v>未公布；约3个月可行性待确认</v>
      </c>
      <c r="K18" s="5" t="str">
        <v>开放：官网JD及申请入口</v>
      </c>
      <c r="L18" s="10"/>
      <c r="M18" s="5" t="str">
        <v>滚动</v>
      </c>
      <c r="N18" s="5" t="str">
        <v>官方写明岗位填满为止；每人建议最多申请3个岗位</v>
      </c>
      <c r="O18" s="5" t="str">
        <v>MS/PhD</v>
      </c>
      <c r="P18" s="5" t="str">
        <v>非必需</v>
      </c>
      <c r="Q18" s="5" t="str">
        <v>未指定毕业年份</v>
      </c>
      <c r="R18" s="5" t="str">
        <v>未单独写明</v>
      </c>
      <c r="S18" s="5" t="str">
        <v>可达性与安全裕度指标，真实/仿真长尾事件评价</v>
      </c>
      <c r="T18" s="5" t="str">
        <v>Python/C++、统计分析</v>
      </c>
      <c r="U18" s="5" t="str">
        <v>SQL、物理建模</v>
      </c>
      <c r="V18" s="5" t="str">
        <v>Lie-MPC、进行中的CBF安全研究</v>
      </c>
      <c r="W18" s="5" t="str">
        <v>CBF研究尚无已验证结果；道路经验待补</v>
      </c>
      <c r="X18" s="5" t="str">
        <v>正文未明确；不推断个人资格</v>
      </c>
      <c r="Y18" s="5" t="str">
        <v>具体岗位</v>
      </c>
      <c r="Z18" s="5" t="str">
        <v>5421</v>
      </c>
      <c r="AA18" s="10" t="n">
        <v>46294</v>
      </c>
      <c r="AB18" s="5" t="str">
        <v>D2</v>
      </c>
      <c r="AC18" s="5" t="str">
        <v>官方正文</v>
      </c>
      <c r="AD18" s="5" t="str">
        <v>人工检索公司官网</v>
      </c>
      <c r="AE18" s="11" t="str">
        <v>https://careers.withwaymo.com/jobs/2027-summer-intern-ms-phd-conflict-behavior-mountain-view-california-united-states</v>
      </c>
    </row>
    <row r="19" ht="46" customHeight="1">
      <c r="A19" s="5" t="str">
        <v>J011</v>
      </c>
      <c r="B19" s="5" t="str">
        <v>P1</v>
      </c>
      <c r="C19" s="5" t="str">
        <v>Waymo</v>
      </c>
      <c r="D19" s="5" t="str">
        <v>2027 Summer Intern — ML Engineer</v>
      </c>
      <c r="E19" s="5" t="str">
        <v>D3</v>
      </c>
      <c r="F19" s="5" t="str">
        <v>A 学位与暑期匹配</v>
      </c>
      <c r="G19" s="5" t="str">
        <v>美国</v>
      </c>
      <c r="H19" s="5" t="str">
        <v>San Francisco, CA</v>
      </c>
      <c r="I19" s="5" t="str">
        <v>2027暑期</v>
      </c>
      <c r="J19" s="5" t="str">
        <v>未公布；约3个月可行性待确认</v>
      </c>
      <c r="K19" s="5" t="str">
        <v>开放：官网JD及申请入口</v>
      </c>
      <c r="L19" s="10"/>
      <c r="M19" s="5" t="str">
        <v>滚动</v>
      </c>
      <c r="N19" s="5" t="str">
        <v>官方写明岗位填满为止；每人建议最多申请3个岗位</v>
      </c>
      <c r="O19" s="5" t="str">
        <v>MS/PhD</v>
      </c>
      <c r="P19" s="5" t="str">
        <v>非必需</v>
      </c>
      <c r="Q19" s="5" t="str">
        <v>未指定毕业年份</v>
      </c>
      <c r="R19" s="5" t="str">
        <v>结束后至少一学期/返校</v>
      </c>
      <c r="S19" s="5" t="str">
        <v>驾驶日志Transformer微调、校准与严格模型评测</v>
      </c>
      <c r="T19" s="5" t="str">
        <v>ML训练、Python、数据与损失调试</v>
      </c>
      <c r="U19" s="5" t="str">
        <v>JAX/Flax、TPU、论文、分布式</v>
      </c>
      <c r="V19" s="5" t="str">
        <v>视觉KV预算匹配实验、PyTorch</v>
      </c>
      <c r="W19" s="5" t="str">
        <v>JAX/TPU与PR-AUC校准经验未确认</v>
      </c>
      <c r="X19" s="5" t="str">
        <v>正文未明确；不推断个人资格</v>
      </c>
      <c r="Y19" s="5" t="str">
        <v>具体岗位</v>
      </c>
      <c r="Z19" s="5" t="str">
        <v>5446</v>
      </c>
      <c r="AA19" s="10" t="n">
        <v>46294</v>
      </c>
      <c r="AB19" s="5" t="str">
        <v>D3</v>
      </c>
      <c r="AC19" s="5" t="str">
        <v>官方正文</v>
      </c>
      <c r="AD19" s="5" t="str">
        <v>人工检索公司官网</v>
      </c>
      <c r="AE19" s="11" t="str">
        <v>https://careers.withwaymo.com/jobs/2027-summer-intern-ms-phd-machine-learning-engineer-san-francisco-california-united-states</v>
      </c>
    </row>
    <row r="20" ht="46" customHeight="1">
      <c r="A20" s="5" t="str">
        <v>J012</v>
      </c>
      <c r="B20" s="5" t="str">
        <v>P1</v>
      </c>
      <c r="C20" s="5" t="str">
        <v>Waymo</v>
      </c>
      <c r="D20" s="5" t="str">
        <v>2027 Summer Intern — Simulator Realism Evaluation</v>
      </c>
      <c r="E20" s="5" t="str">
        <v>D3</v>
      </c>
      <c r="F20" s="5" t="str">
        <v>A 学位与暑期匹配</v>
      </c>
      <c r="G20" s="5" t="str">
        <v>美国</v>
      </c>
      <c r="H20" s="5" t="str">
        <v>San Francisco, CA</v>
      </c>
      <c r="I20" s="5" t="str">
        <v>2027暑期</v>
      </c>
      <c r="J20" s="5" t="str">
        <v>未公布；约3个月可行性待确认</v>
      </c>
      <c r="K20" s="5" t="str">
        <v>开放：官网JD及申请入口</v>
      </c>
      <c r="L20" s="10"/>
      <c r="M20" s="5" t="str">
        <v>滚动</v>
      </c>
      <c r="N20" s="5" t="str">
        <v>官方写明岗位填满为止；每人建议最多申请3个岗位</v>
      </c>
      <c r="O20" s="5" t="str">
        <v>MS/PhD</v>
      </c>
      <c r="P20" s="5" t="str">
        <v>非必需</v>
      </c>
      <c r="Q20" s="5" t="str">
        <v>未指定毕业年份</v>
      </c>
      <c r="R20" s="5" t="str">
        <v>未单独写明</v>
      </c>
      <c r="S20" s="5" t="str">
        <v>用ML判别器和统计实验评估仿真真实性</v>
      </c>
      <c r="T20" s="5" t="str">
        <v>C++、Python、ML、统计</v>
      </c>
      <c r="U20" s="5" t="str">
        <v>分布式加速系统</v>
      </c>
      <c r="V20" s="5" t="str">
        <v>仿真平台、真机评测与对照实验</v>
      </c>
      <c r="W20" s="5" t="str">
        <v>缺仿真真实性判别器成果</v>
      </c>
      <c r="X20" s="5" t="str">
        <v>正文未明确；不推断个人资格</v>
      </c>
      <c r="Y20" s="5" t="str">
        <v>具体岗位</v>
      </c>
      <c r="Z20" s="5" t="str">
        <v>5432</v>
      </c>
      <c r="AA20" s="10" t="n">
        <v>46294</v>
      </c>
      <c r="AB20" s="5" t="str">
        <v>D3</v>
      </c>
      <c r="AC20" s="5" t="str">
        <v>官方正文</v>
      </c>
      <c r="AD20" s="5" t="str">
        <v>人工检索公司官网</v>
      </c>
      <c r="AE20" s="11" t="str">
        <v>https://careers.withwaymo.com/jobs/2027-summer-intern-ms-phd-machine-learning-engineer-simulator-realism-evaluation-san-francisco-california-united-states</v>
      </c>
    </row>
    <row r="21" ht="46" customHeight="1">
      <c r="A21" s="5" t="str">
        <v>J013</v>
      </c>
      <c r="B21" s="5" t="str">
        <v>P1</v>
      </c>
      <c r="C21" s="5" t="str">
        <v>Waymo</v>
      </c>
      <c r="D21" s="5" t="str">
        <v>2027 Summer Intern — Software Engineer, Onboard Behavior</v>
      </c>
      <c r="E21" s="5" t="str">
        <v>D4</v>
      </c>
      <c r="F21" s="5" t="str">
        <v>A 学位与暑期匹配</v>
      </c>
      <c r="G21" s="5" t="str">
        <v>美国</v>
      </c>
      <c r="H21" s="5" t="str">
        <v>Mountain View, CA</v>
      </c>
      <c r="I21" s="5" t="str">
        <v>2027暑期</v>
      </c>
      <c r="J21" s="5" t="str">
        <v>未公布；约3个月可行性待确认</v>
      </c>
      <c r="K21" s="5" t="str">
        <v>开放：官网JD及申请入口</v>
      </c>
      <c r="L21" s="10"/>
      <c r="M21" s="5" t="str">
        <v>滚动</v>
      </c>
      <c r="N21" s="5" t="str">
        <v>官方写明岗位填满为止；每人建议最多申请3个岗位</v>
      </c>
      <c r="O21" s="5" t="str">
        <v>MS/PhD</v>
      </c>
      <c r="P21" s="5" t="str">
        <v>非必需</v>
      </c>
      <c r="Q21" s="5" t="str">
        <v>未指定毕业年份</v>
      </c>
      <c r="R21" s="5" t="str">
        <v>未单独写明</v>
      </c>
      <c r="S21" s="5" t="str">
        <v>交通规则行为软件及大规模仿真安全/平顺性验证</v>
      </c>
      <c r="T21" s="5" t="str">
        <v>C++、算法与数据结构</v>
      </c>
      <c r="U21" s="5" t="str">
        <v>实时、容错系统</v>
      </c>
      <c r="V21" s="5" t="str">
        <v>ROS2、多机器人与闭环控制</v>
      </c>
      <c r="W21" s="5" t="str">
        <v>交通法规行为模块/生产容错未证明</v>
      </c>
      <c r="X21" s="5" t="str">
        <v>正文未明确；不推断个人资格</v>
      </c>
      <c r="Y21" s="5" t="str">
        <v>具体岗位</v>
      </c>
      <c r="Z21" s="5" t="str">
        <v>5453</v>
      </c>
      <c r="AA21" s="10" t="n">
        <v>46294</v>
      </c>
      <c r="AB21" s="5" t="str">
        <v>D4</v>
      </c>
      <c r="AC21" s="5" t="str">
        <v>官方正文</v>
      </c>
      <c r="AD21" s="5" t="str">
        <v>人工检索公司官网</v>
      </c>
      <c r="AE21" s="11" t="str">
        <v>https://careers.withwaymo.com/jobs/2027-summer-intern-ms-phd-software-engineer-mountain-view-california-united-states-5fee6bf6-c4ad-4bfa-ad0b-7a335c8f649d</v>
      </c>
    </row>
    <row r="22" ht="46" customHeight="1">
      <c r="A22" s="5" t="str">
        <v>J014</v>
      </c>
      <c r="B22" s="5" t="str">
        <v>P1</v>
      </c>
      <c r="C22" s="5" t="str">
        <v>Waymo</v>
      </c>
      <c r="D22" s="5" t="str">
        <v>2027 Summer Intern — Simulation Evaluation ML Model</v>
      </c>
      <c r="E22" s="5" t="str">
        <v>D3</v>
      </c>
      <c r="F22" s="5" t="str">
        <v>A 学位与暑期匹配</v>
      </c>
      <c r="G22" s="5" t="str">
        <v>美国</v>
      </c>
      <c r="H22" s="5" t="str">
        <v>Mountain View, CA</v>
      </c>
      <c r="I22" s="5" t="str">
        <v>2027暑期</v>
      </c>
      <c r="J22" s="5" t="str">
        <v>未公布；约3个月可行性待确认</v>
      </c>
      <c r="K22" s="5" t="str">
        <v>开放：官网JD及申请入口</v>
      </c>
      <c r="L22" s="10"/>
      <c r="M22" s="5" t="str">
        <v>滚动</v>
      </c>
      <c r="N22" s="5" t="str">
        <v>官方写明岗位填满为止；每人建议最多申请3个岗位</v>
      </c>
      <c r="O22" s="5" t="str">
        <v>MS/PhD</v>
      </c>
      <c r="P22" s="5" t="str">
        <v>非必需</v>
      </c>
      <c r="Q22" s="5" t="str">
        <v>未指定毕业年份</v>
      </c>
      <c r="R22" s="5" t="str">
        <v>结束后至少一学期/返校</v>
      </c>
      <c r="S22" s="5" t="str">
        <v>仿真日志语义图与多模态检索评测</v>
      </c>
      <c r="T22" s="5" t="str">
        <v>Python/C++、Linux、PyTorch</v>
      </c>
      <c r="U22" s="5" t="str">
        <v>图/GNN、RAG、分布式</v>
      </c>
      <c r="V22" s="5" t="str">
        <v>VLM压缩、视频研究、仿真日志</v>
      </c>
      <c r="W22" s="5" t="str">
        <v>RAG/GNN非已证明技能</v>
      </c>
      <c r="X22" s="5" t="str">
        <v>正文未明确；不推断个人资格</v>
      </c>
      <c r="Y22" s="5" t="str">
        <v>具体岗位</v>
      </c>
      <c r="Z22" s="5" t="str">
        <v>5441</v>
      </c>
      <c r="AA22" s="10" t="n">
        <v>46294</v>
      </c>
      <c r="AB22" s="5" t="str">
        <v>D3</v>
      </c>
      <c r="AC22" s="5" t="str">
        <v>官方正文</v>
      </c>
      <c r="AD22" s="5" t="str">
        <v>人工检索公司官网</v>
      </c>
      <c r="AE22" s="11" t="str">
        <v>https://careers.withwaymo.com/jobs/2027-summer-intern-ms-phd-software-engineer-simulation-evaluation-ml-model-mountain-view-california-united-states</v>
      </c>
    </row>
    <row r="23" ht="46" customHeight="1">
      <c r="A23" s="5" t="str">
        <v>J036</v>
      </c>
      <c r="B23" s="5" t="str">
        <v>P2</v>
      </c>
      <c r="C23" s="5" t="str">
        <v>Bedrock Robotics</v>
      </c>
      <c r="D23" s="5" t="str">
        <v>2027 Internship — Software Engineer, Fleet Platform</v>
      </c>
      <c r="E23" s="5" t="str">
        <v>D5</v>
      </c>
      <c r="F23" s="5" t="str">
        <v>A 学位与暑期匹配</v>
      </c>
      <c r="G23" s="5" t="str">
        <v>美国</v>
      </c>
      <c r="H23" s="5" t="str">
        <v>New York, NY（现场）</v>
      </c>
      <c r="I23" s="5" t="str">
        <v>2027暑期（正文明确summer）</v>
      </c>
      <c r="J23" s="5" t="str">
        <v>未公布；约3个月可行性待确认</v>
      </c>
      <c r="K23" s="5" t="str">
        <v>开放：浏览器实时招聘列表</v>
      </c>
      <c r="L23" s="10"/>
      <c r="M23" s="5" t="str">
        <v>未公布</v>
      </c>
      <c r="N23" s="5" t="str">
        <v>未公布截止，不等于长期有效</v>
      </c>
      <c r="O23" s="5" t="str">
        <v>BS/MS或同等</v>
      </c>
      <c r="P23" s="5" t="str">
        <v>非必需</v>
      </c>
      <c r="Q23" s="5" t="str">
        <v>未指定毕业年份</v>
      </c>
      <c r="R23" s="5" t="str">
        <v>未单独写明</v>
      </c>
      <c r="S23" s="5" t="str">
        <v>机器人生命周期内部工具、数据后端和界面</v>
      </c>
      <c r="T23" s="5" t="str">
        <v>BS/MS或同等；全栈应用、Python/Rust/C++/TS等</v>
      </c>
      <c r="U23" s="5" t="str">
        <v>遥测、数据可视化、云/CI/CD</v>
      </c>
      <c r="V23" s="5" t="str">
        <v>部署工具和日志基础设施</v>
      </c>
      <c r="W23" s="5" t="str">
        <v>全栈前端/云部署证据不足</v>
      </c>
      <c r="X23" s="5" t="str">
        <v>正文未明确；不推断个人资格</v>
      </c>
      <c r="Y23" s="5" t="str">
        <v>具体岗位</v>
      </c>
      <c r="Z23" s="5" t="str">
        <v>8927dd7e-a48d-49a2-92eb-09ec059432f4</v>
      </c>
      <c r="AA23" s="10" t="n">
        <v>46294</v>
      </c>
      <c r="AB23" s="5" t="str">
        <v>D5</v>
      </c>
      <c r="AC23" s="5" t="str">
        <v>官方正文+浏览器实时列表</v>
      </c>
      <c r="AD23" s="5" t="str">
        <v>CMU招聘邮件（V&amp;V）/官网人工检索</v>
      </c>
      <c r="AE23" s="11" t="str">
        <v>https://jobs.ashbyhq.com/bedrock-robotics/8927dd7e-a48d-49a2-92eb-09ec059432f4</v>
      </c>
    </row>
    <row r="24" ht="46" customHeight="1">
      <c r="A24" s="5" t="str">
        <v>J028</v>
      </c>
      <c r="B24" s="5" t="str">
        <v>P2</v>
      </c>
      <c r="C24" s="5" t="str">
        <v>Corning</v>
      </c>
      <c r="D24" s="5" t="str">
        <v>Intern, Controls Engineering — Summer 2027</v>
      </c>
      <c r="E24" s="5" t="str">
        <v>D5</v>
      </c>
      <c r="F24" s="5" t="str">
        <v>A 学位与暑期匹配</v>
      </c>
      <c r="G24" s="5" t="str">
        <v>美国</v>
      </c>
      <c r="H24" s="5" t="str">
        <v>Painted Post, NY</v>
      </c>
      <c r="I24" s="5" t="str">
        <v>2027暑期</v>
      </c>
      <c r="J24" s="5" t="str">
        <v>未公布；约3个月可行性待确认</v>
      </c>
      <c r="K24" s="5" t="str">
        <v>开放：官网JD及申请入口</v>
      </c>
      <c r="L24" s="10"/>
      <c r="M24" s="5" t="str">
        <v>未公布</v>
      </c>
      <c r="N24" s="5" t="str">
        <v>未公布截止，不等于长期有效</v>
      </c>
      <c r="O24" s="5" t="str">
        <v>相关学位在读，未限学位层级</v>
      </c>
      <c r="P24" s="5" t="str">
        <v>非必需</v>
      </c>
      <c r="Q24" s="5" t="str">
        <v>未指定毕业年份</v>
      </c>
      <c r="R24" s="5" t="str">
        <v>未单独写明</v>
      </c>
      <c r="S24" s="5" t="str">
        <v>Digital Factory Lab机器人/传感器/视觉系统搭建与演示</v>
      </c>
      <c r="T24" s="5" t="str">
        <v>机器人/电气相关学位在读；编程与机电基础</v>
      </c>
      <c r="U24" s="5" t="str">
        <v>CAD、控制、机器人项目</v>
      </c>
      <c r="V24" s="5" t="str">
        <v>系统集成、Dexmate演示、CAD</v>
      </c>
      <c r="W24" s="5" t="str">
        <v>PLC和工业网络未证明</v>
      </c>
      <c r="X24" s="5" t="str">
        <v>正文未明确；不推断个人资格</v>
      </c>
      <c r="Y24" s="5" t="str">
        <v>具体岗位</v>
      </c>
      <c r="Z24" s="5" t="str">
        <v>77402</v>
      </c>
      <c r="AA24" s="10" t="n">
        <v>46294</v>
      </c>
      <c r="AB24" s="5" t="str">
        <v>D5</v>
      </c>
      <c r="AC24" s="5" t="str">
        <v>官方正文</v>
      </c>
      <c r="AD24" s="5" t="str">
        <v>人工检索公司官网</v>
      </c>
      <c r="AE24" s="11" t="str">
        <v>https://corningjobs.corning.com/job/Painted-Post-Intern,-Controls-Engineering-Summer-2027-NY-14870/1425734500/</v>
      </c>
    </row>
    <row r="25" ht="46" customHeight="1">
      <c r="A25" s="5" t="str">
        <v>J029</v>
      </c>
      <c r="B25" s="5" t="str">
        <v>P2</v>
      </c>
      <c r="C25" s="5" t="str">
        <v>Corning</v>
      </c>
      <c r="D25" s="5" t="str">
        <v>Controls Engineer Intern — Summer 2027</v>
      </c>
      <c r="E25" s="5" t="str">
        <v>D2</v>
      </c>
      <c r="F25" s="5" t="str">
        <v>A 学位与暑期匹配</v>
      </c>
      <c r="G25" s="5" t="str">
        <v>美国</v>
      </c>
      <c r="H25" s="5" t="str">
        <v>Canton, NY</v>
      </c>
      <c r="I25" s="5" t="str">
        <v>2027暑期</v>
      </c>
      <c r="J25" s="5" t="str">
        <v>未公布；约3个月可行性待确认</v>
      </c>
      <c r="K25" s="5" t="str">
        <v>开放：官网JD及申请入口</v>
      </c>
      <c r="L25" s="10"/>
      <c r="M25" s="5" t="str">
        <v>未公布</v>
      </c>
      <c r="N25" s="5" t="str">
        <v>未公布截止，不等于长期有效</v>
      </c>
      <c r="O25" s="5" t="str">
        <v>BS/MS</v>
      </c>
      <c r="P25" s="5" t="str">
        <v>非必需</v>
      </c>
      <c r="Q25" s="5" t="str">
        <v>未指定毕业年份</v>
      </c>
      <c r="R25" s="5" t="str">
        <v>未单独写明</v>
      </c>
      <c r="S25" s="5" t="str">
        <v>PLC/HMI/SCADA开发与现场控制调试</v>
      </c>
      <c r="T25" s="5" t="str">
        <v>BS/MS；控制和工业自动化基础</v>
      </c>
      <c r="U25" s="5" t="str">
        <v>Ladder/Structured Text、CAD</v>
      </c>
      <c r="V25" s="5" t="str">
        <v>机械+ECE背景与闭环控制</v>
      </c>
      <c r="W25" s="5" t="str">
        <v>PLC技能缺口；工业控制非学习研究</v>
      </c>
      <c r="X25" s="5" t="str">
        <v>JD写明不支持移民担保</v>
      </c>
      <c r="Y25" s="5" t="str">
        <v>具体岗位</v>
      </c>
      <c r="Z25" s="5" t="str">
        <v>77365</v>
      </c>
      <c r="AA25" s="10" t="n">
        <v>46294</v>
      </c>
      <c r="AB25" s="5" t="str">
        <v>D2</v>
      </c>
      <c r="AC25" s="5" t="str">
        <v>官方正文</v>
      </c>
      <c r="AD25" s="5" t="str">
        <v>人工检索公司官网</v>
      </c>
      <c r="AE25" s="11" t="str">
        <v>https://corningjobs.corning.com/job/Canton-Controls-Engineer-Intern-Summer-2027-NY-13617/1425733700/</v>
      </c>
    </row>
    <row r="26" ht="46" customHeight="1">
      <c r="A26" s="5" t="str">
        <v>J055</v>
      </c>
      <c r="B26" s="5" t="str">
        <v>P2</v>
      </c>
      <c r="C26" s="5" t="str">
        <v>Waymo</v>
      </c>
      <c r="D26" s="5" t="str">
        <v>2027 Summer Intern, BS/MS, Software Engineering, Commercialization</v>
      </c>
      <c r="E26" s="5" t="str">
        <v>D5</v>
      </c>
      <c r="F26" s="5" t="str">
        <v>A 学位与暑期匹配</v>
      </c>
      <c r="G26" s="5" t="str">
        <v>美国</v>
      </c>
      <c r="H26" s="5" t="str">
        <v>Mountain View / San Francisco, CA</v>
      </c>
      <c r="I26" s="5" t="str">
        <v>2027暑期</v>
      </c>
      <c r="J26" s="5" t="str">
        <v>未公布；约3个月可行性待确认</v>
      </c>
      <c r="K26" s="5" t="str">
        <v>开放：官网JD及申请入口</v>
      </c>
      <c r="L26" s="10"/>
      <c r="M26" s="5" t="str">
        <v>滚动</v>
      </c>
      <c r="N26" s="5" t="str">
        <v>填满为止；建议每人最多3岗</v>
      </c>
      <c r="O26" s="5" t="str">
        <v>BS/MS相关专业</v>
      </c>
      <c r="P26" s="5" t="str">
        <v>非必需</v>
      </c>
      <c r="Q26" s="5" t="str">
        <v>未指定毕业年份</v>
      </c>
      <c r="R26" s="5" t="str">
        <v>未单独写明</v>
      </c>
      <c r="S26" s="5" t="str">
        <v>车队工具/后端可靠性、调度预测与优化</v>
      </c>
      <c r="T26" s="5" t="str">
        <v>BS/MS CS或相关；内部工具与基础设施兴趣</v>
      </c>
      <c r="U26" s="5" t="str">
        <v>C++、分布式后端</v>
      </c>
      <c r="V26" s="5" t="str">
        <v>部署基础设施与机器人软件</v>
      </c>
      <c r="W26" s="5" t="str">
        <v>云/后端规模经验不足；偏商业系统</v>
      </c>
      <c r="X26" s="5" t="str">
        <v>正文未明确；不推断个人资格</v>
      </c>
      <c r="Y26" s="5" t="str">
        <v>具体岗位</v>
      </c>
      <c r="Z26" s="5" t="str">
        <v>5401</v>
      </c>
      <c r="AA26" s="10" t="n">
        <v>46294</v>
      </c>
      <c r="AB26" s="5" t="str">
        <v>D5</v>
      </c>
      <c r="AC26" s="5" t="str">
        <v>官方正文</v>
      </c>
      <c r="AD26" s="5" t="str">
        <v>人工检索公司官网</v>
      </c>
      <c r="AE26" s="11" t="str">
        <v>https://careers.withwaymo.com/jobs/2027-summer-intern-bs-ms-software-engineering-commercialization-mountain-view-california-united-states-san-francisco</v>
      </c>
    </row>
    <row r="27" ht="46" customHeight="1">
      <c r="A27" s="5" t="str">
        <v>J040</v>
      </c>
      <c r="B27" s="5" t="str">
        <v>P2</v>
      </c>
      <c r="C27" s="5" t="str">
        <v>Physical Intelligence</v>
      </c>
      <c r="D27" s="5" t="str">
        <v>Research Internships</v>
      </c>
      <c r="E27" s="5" t="str">
        <v>D1</v>
      </c>
      <c r="F27" s="5" t="str">
        <v>B JD信息不足</v>
      </c>
      <c r="G27" s="5" t="str">
        <v>美国</v>
      </c>
      <c r="H27" s="5" t="str">
        <v>San Francisco, CA（现场）</v>
      </c>
      <c r="I27" s="5" t="str">
        <v>未公布</v>
      </c>
      <c r="J27" s="5" t="str">
        <v>未公布；约3个月可行性待确认</v>
      </c>
      <c r="K27" s="5" t="str">
        <v>开放：浏览器显示实习页及申请入口</v>
      </c>
      <c r="L27" s="10"/>
      <c r="M27" s="5" t="str">
        <v>未公布</v>
      </c>
      <c r="N27" s="5" t="str">
        <v>未公布截止，不等于长期有效</v>
      </c>
      <c r="O27" s="5" t="str">
        <v>未公布</v>
      </c>
      <c r="P27" s="5" t="str">
        <v>非必需</v>
      </c>
      <c r="Q27" s="5" t="str">
        <v>未指定毕业年份</v>
      </c>
      <c r="R27" s="5" t="str">
        <v>未单独写明</v>
      </c>
      <c r="S27" s="5" t="str">
        <v>官网仅显示Research Internships与AI &amp; Robotics Research部门；无具体职责</v>
      </c>
      <c r="T27" s="5" t="str">
        <v>未公开</v>
      </c>
      <c r="U27" s="5" t="str">
        <v>未公开</v>
      </c>
      <c r="V27" s="5" t="str">
        <v>VLA/机器人研究方向相邻，仅方向判断</v>
      </c>
      <c r="W27" s="5" t="str">
        <v>学位、团队、季节、时长及职责均需确认</v>
      </c>
      <c r="X27" s="5" t="str">
        <v>正文未明确；不推断个人资格</v>
      </c>
      <c r="Y27" s="5" t="str">
        <v>具体岗位</v>
      </c>
      <c r="Z27" s="5" t="str">
        <v>f020ff1a-4b4c-4415-8434-2da5010a7076</v>
      </c>
      <c r="AA27" s="10" t="n">
        <v>46294</v>
      </c>
      <c r="AB27" s="5" t="str">
        <v>D1</v>
      </c>
      <c r="AC27" s="5" t="str">
        <v>浏览器现场正文</v>
      </c>
      <c r="AD27" s="5" t="str">
        <v>人工检索公司官网</v>
      </c>
      <c r="AE27" s="11" t="str">
        <v>https://jobs.ashbyhq.com/physicalintelligence/f020ff1a-4b4c-4415-8434-2da5010a7076</v>
      </c>
    </row>
    <row r="28" ht="46" customHeight="1">
      <c r="A28" s="5" t="str">
        <v>J054</v>
      </c>
      <c r="B28" s="5" t="str">
        <v>P2</v>
      </c>
      <c r="C28" s="5" t="str">
        <v>Waymo</v>
      </c>
      <c r="D28" s="5" t="str">
        <v>2027 Summer Intern, BS/MS, Software Engineer</v>
      </c>
      <c r="E28" s="5" t="str">
        <v>D4</v>
      </c>
      <c r="F28" s="5" t="str">
        <v>B 专业范围待确认</v>
      </c>
      <c r="G28" s="5" t="str">
        <v>美国</v>
      </c>
      <c r="H28" s="5" t="str">
        <v>San Francisco, CA</v>
      </c>
      <c r="I28" s="5" t="str">
        <v>2027暑期</v>
      </c>
      <c r="J28" s="5" t="str">
        <v>未公布；约3个月可行性待确认</v>
      </c>
      <c r="K28" s="5" t="str">
        <v>开放：官网JD及申请入口</v>
      </c>
      <c r="L28" s="10"/>
      <c r="M28" s="5" t="str">
        <v>滚动</v>
      </c>
      <c r="N28" s="5" t="str">
        <v>填满为止；建议每人最多3岗</v>
      </c>
      <c r="O28" s="5" t="str">
        <v>BS/MS Software Engineering</v>
      </c>
      <c r="P28" s="5" t="str">
        <v>非必需</v>
      </c>
      <c r="Q28" s="5" t="str">
        <v>未指定毕业年份</v>
      </c>
      <c r="R28" s="5" t="str">
        <v>未单独写明</v>
      </c>
      <c r="S28" s="5" t="str">
        <v>聚类ML/生产行为差异并将优质ML行为移入生产</v>
      </c>
      <c r="T28" s="5" t="str">
        <v>BS/MS Software Engineering；C++、数据分析</v>
      </c>
      <c r="U28" s="5" t="str">
        <v>机器人/ML</v>
      </c>
      <c r="V28" s="5" t="str">
        <v>真机策略部署与rollout分析</v>
      </c>
      <c r="W28" s="5" t="str">
        <v>JD学科写Software Engineering，MSR是否认可相关性需确认</v>
      </c>
      <c r="X28" s="5" t="str">
        <v>正文未明确；不推断个人资格</v>
      </c>
      <c r="Y28" s="5" t="str">
        <v>具体岗位</v>
      </c>
      <c r="Z28" s="5" t="str">
        <v>5392</v>
      </c>
      <c r="AA28" s="10" t="n">
        <v>46294</v>
      </c>
      <c r="AB28" s="5" t="str">
        <v>D4</v>
      </c>
      <c r="AC28" s="5" t="str">
        <v>官方正文</v>
      </c>
      <c r="AD28" s="5" t="str">
        <v>人工检索公司官网</v>
      </c>
      <c r="AE28" s="11" t="str">
        <v>https://careers.withwaymo.com/jobs/2027-summer-intern-bs-ms-software-engineer-san-francisco-california-united-states</v>
      </c>
    </row>
    <row r="29" ht="46" customHeight="1">
      <c r="A29" s="5" t="str">
        <v>J037</v>
      </c>
      <c r="B29" s="5" t="str">
        <v>P1</v>
      </c>
      <c r="C29" s="5" t="str">
        <v>Neuralink</v>
      </c>
      <c r="D29" s="5" t="str">
        <v>Software Engineer Intern, Robotics</v>
      </c>
      <c r="E29" s="5" t="str">
        <v>D4</v>
      </c>
      <c r="F29" s="5" t="str">
        <v>B 时间与学位待确认</v>
      </c>
      <c r="G29" s="5" t="str">
        <v>美国</v>
      </c>
      <c r="H29" s="5" t="str">
        <v>Austin, TX / South San Francisco, CA</v>
      </c>
      <c r="I29" s="5" t="str">
        <v>未注明2027或暑期</v>
      </c>
      <c r="J29" s="5" t="str">
        <v>未公布；约3个月可行性待确认</v>
      </c>
      <c r="K29" s="5" t="str">
        <v>官网实习JD可读</v>
      </c>
      <c r="L29" s="10"/>
      <c r="M29" s="5" t="str">
        <v>未公布</v>
      </c>
      <c r="N29" s="5" t="str">
        <v>未公布截止，不等于长期有效</v>
      </c>
      <c r="O29" s="5" t="str">
        <v>未指定</v>
      </c>
      <c r="P29" s="5" t="str">
        <v>非必需</v>
      </c>
      <c r="Q29" s="5" t="str">
        <v>未指定毕业年份</v>
      </c>
      <c r="R29" s="5" t="str">
        <v>未单独写明</v>
      </c>
      <c r="S29" s="5" t="str">
        <v>机器人系统可靠性、视觉/运动学与规划软件</v>
      </c>
      <c r="T29" s="5" t="str">
        <v>C/C++或Rust，关键系统软件基础</v>
      </c>
      <c r="U29" s="5" t="str">
        <v>机器人、视觉、运动规划</v>
      </c>
      <c r="V29" s="5" t="str">
        <v>控制、ROS2和真机系统</v>
      </c>
      <c r="W29" s="5" t="str">
        <v>未公布学位/2027暑期/3个月安排</v>
      </c>
      <c r="X29" s="5" t="str">
        <v>正文未明确；不推断个人资格</v>
      </c>
      <c r="Y29" s="5" t="str">
        <v>具体岗位</v>
      </c>
      <c r="Z29" s="5" t="str">
        <v>5469305003</v>
      </c>
      <c r="AA29" s="10" t="n">
        <v>46294</v>
      </c>
      <c r="AB29" s="5" t="str">
        <v>D4</v>
      </c>
      <c r="AC29" s="5" t="str">
        <v>官方正文</v>
      </c>
      <c r="AD29" s="5" t="str">
        <v>人工检索公司官网</v>
      </c>
      <c r="AE29" s="11" t="str">
        <v>https://job-boards.greenhouse.io/neuralink/jobs/5469305003</v>
      </c>
    </row>
    <row r="30" ht="46" customHeight="1">
      <c r="A30" s="5" t="str">
        <v>J046</v>
      </c>
      <c r="B30" s="5" t="str">
        <v>P2</v>
      </c>
      <c r="C30" s="5" t="str">
        <v>Baidu</v>
      </c>
      <c r="D30" s="5" t="str">
        <v>研究院大模型算法实习生</v>
      </c>
      <c r="E30" s="5" t="str">
        <v>D3</v>
      </c>
      <c r="F30" s="5" t="str">
        <v>B 时间与学位待确认</v>
      </c>
      <c r="G30" s="5" t="str">
        <v>中国</v>
      </c>
      <c r="H30" s="5" t="str">
        <v>北京/深圳（以岗位页为准）</v>
      </c>
      <c r="I30" s="5" t="str">
        <v>日常实习；未注明2027</v>
      </c>
      <c r="J30" s="5" t="str">
        <v>未公布</v>
      </c>
      <c r="K30" s="5" t="str">
        <v>官网实习正文可读</v>
      </c>
      <c r="L30" s="10"/>
      <c r="M30" s="5" t="str">
        <v>未公布</v>
      </c>
      <c r="N30" s="5" t="str">
        <v>未公布截止，不等于长期有效</v>
      </c>
      <c r="O30" s="5" t="str">
        <v>所读正文未明确学位层级</v>
      </c>
      <c r="P30" s="5" t="str">
        <v>非必需</v>
      </c>
      <c r="Q30" s="5" t="str">
        <v>未指定毕业年份</v>
      </c>
      <c r="R30" s="5" t="str">
        <v>未单独写明</v>
      </c>
      <c r="S30" s="5" t="str">
        <v>多模态融合、大模型微调研究</v>
      </c>
      <c r="T30" s="5" t="str">
        <v>编码/数据结构、机器学习</v>
      </c>
      <c r="U30" s="5" t="str">
        <v>论文、相关研究</v>
      </c>
      <c r="V30" s="5" t="str">
        <v>视觉KV、视频与agent经验；Agent/RL为相邻方向</v>
      </c>
      <c r="W30" s="5" t="str">
        <v>学位和实习档期/时长未明确</v>
      </c>
      <c r="X30" s="5" t="str">
        <v>正文未明确；不推断个人资格</v>
      </c>
      <c r="Y30" s="5" t="str">
        <v>具体岗位</v>
      </c>
      <c r="Z30" s="5" t="str">
        <v>J95515</v>
      </c>
      <c r="AA30" s="10" t="n">
        <v>46294</v>
      </c>
      <c r="AB30" s="5" t="str">
        <v>D3</v>
      </c>
      <c r="AC30" s="5" t="str">
        <v>官方正文</v>
      </c>
      <c r="AD30" s="5" t="str">
        <v>人工检索公司官网</v>
      </c>
      <c r="AE30" s="11" t="str">
        <v>https://talent.baidu.com/jobs/detail/INTERN/f4f00de1-f5a6-494d-b8e1-943ce9d94905</v>
      </c>
    </row>
    <row r="31" ht="46" customHeight="1">
      <c r="A31" s="5" t="str">
        <v>J047</v>
      </c>
      <c r="B31" s="5" t="str">
        <v>P2</v>
      </c>
      <c r="C31" s="5" t="str">
        <v>Baidu</v>
      </c>
      <c r="D31" s="5" t="str">
        <v>大模型算法工程师实习生（Agent/RL）</v>
      </c>
      <c r="E31" s="5" t="str">
        <v>D3</v>
      </c>
      <c r="F31" s="5" t="str">
        <v>B 时间与学位待确认</v>
      </c>
      <c r="G31" s="5" t="str">
        <v>中国</v>
      </c>
      <c r="H31" s="5" t="str">
        <v>北京/深圳（以岗位页为准）</v>
      </c>
      <c r="I31" s="5" t="str">
        <v>日常实习；未注明2027</v>
      </c>
      <c r="J31" s="5" t="str">
        <v>未公布</v>
      </c>
      <c r="K31" s="5" t="str">
        <v>官网实习正文可读</v>
      </c>
      <c r="L31" s="10"/>
      <c r="M31" s="5" t="str">
        <v>未公布</v>
      </c>
      <c r="N31" s="5" t="str">
        <v>未公布截止，不等于长期有效</v>
      </c>
      <c r="O31" s="5" t="str">
        <v>本科以上</v>
      </c>
      <c r="P31" s="5" t="str">
        <v>非必需</v>
      </c>
      <c r="Q31" s="5" t="str">
        <v>未指定毕业年份</v>
      </c>
      <c r="R31" s="5" t="str">
        <v>未单独写明</v>
      </c>
      <c r="S31" s="5" t="str">
        <v>RL reward/环境服务及大模型工程</v>
      </c>
      <c r="T31" s="5" t="str">
        <v>本科以上；PyTorch/Linux；Python/Go/Java/C++</v>
      </c>
      <c r="U31" s="5" t="str">
        <v>论文、相关研究</v>
      </c>
      <c r="V31" s="5" t="str">
        <v>视觉KV、视频与agent经验；Agent/RL为相邻方向</v>
      </c>
      <c r="W31" s="5" t="str">
        <v>研究内容偏LM；具体团队与暑期需核实</v>
      </c>
      <c r="X31" s="5" t="str">
        <v>正文未明确；不推断个人资格</v>
      </c>
      <c r="Y31" s="5" t="str">
        <v>具体岗位</v>
      </c>
      <c r="Z31" s="5" t="str">
        <v>J100640</v>
      </c>
      <c r="AA31" s="10" t="n">
        <v>46294</v>
      </c>
      <c r="AB31" s="5" t="str">
        <v>D3</v>
      </c>
      <c r="AC31" s="5" t="str">
        <v>官方正文</v>
      </c>
      <c r="AD31" s="5" t="str">
        <v>人工检索公司官网</v>
      </c>
      <c r="AE31" s="11" t="str">
        <v>https://talent.baidu.com/jobs/detail/INTERN/09a5cef9-73c6-4462-995b-fe74a8450d10</v>
      </c>
    </row>
    <row r="32" ht="46" customHeight="1">
      <c r="A32" s="5" t="str">
        <v>J049</v>
      </c>
      <c r="B32" s="5" t="str">
        <v>P2</v>
      </c>
      <c r="C32" s="5" t="str">
        <v>Bedrock Robotics</v>
      </c>
      <c r="D32" s="5" t="str">
        <v>2027 Internship — State Estimation, Learned Mapping &amp; Semantic SLAM</v>
      </c>
      <c r="E32" s="5" t="str">
        <v>D4</v>
      </c>
      <c r="F32" s="5" t="str">
        <v>B 时间与技能待确认</v>
      </c>
      <c r="G32" s="5" t="str">
        <v>美国</v>
      </c>
      <c r="H32" s="5" t="str">
        <v>San Francisco, CA（现场）</v>
      </c>
      <c r="I32" s="5" t="str">
        <v>2027；暑期未明确</v>
      </c>
      <c r="J32" s="5" t="str">
        <v>未公布；约3个月可行性待确认</v>
      </c>
      <c r="K32" s="5" t="str">
        <v>开放：浏览器实时招聘列表</v>
      </c>
      <c r="L32" s="10"/>
      <c r="M32" s="5" t="str">
        <v>未公布</v>
      </c>
      <c r="N32" s="5" t="str">
        <v>未公布截止，不等于长期有效</v>
      </c>
      <c r="O32" s="5" t="str">
        <v>BS/MS/PhD或同等</v>
      </c>
      <c r="P32" s="5" t="str">
        <v>非必需</v>
      </c>
      <c r="Q32" s="5" t="str">
        <v>未指定毕业年份</v>
      </c>
      <c r="R32" s="5" t="str">
        <v>未单独写明</v>
      </c>
      <c r="S32" s="5" t="str">
        <v>学习型SLAM、3D语义地图、真实数据与经典基线比较</v>
      </c>
      <c r="T32" s="5" t="str">
        <v>BS/MS/PhD或同等；Python/PyTorch、3D变换、SLAM/点云</v>
      </c>
      <c r="U32" s="5" t="str">
        <v>DINO/SAM、lidar融合、NeRF/3DGS、ROS/C++</v>
      </c>
      <c r="V32" s="5" t="str">
        <v>SlideSLAM/ROS2、DINO/SAM感知、传感器标定</v>
      </c>
      <c r="W32" s="5" t="str">
        <v>学习型建图/3D神经表示成果未确认</v>
      </c>
      <c r="X32" s="5" t="str">
        <v>正文未明确；不推断个人资格</v>
      </c>
      <c r="Y32" s="5" t="str">
        <v>具体岗位</v>
      </c>
      <c r="Z32" s="5" t="str">
        <v>8c7bad61-50e3-4702-be36-72e9b72a9760</v>
      </c>
      <c r="AA32" s="10" t="n">
        <v>46294</v>
      </c>
      <c r="AB32" s="5" t="str">
        <v>D4</v>
      </c>
      <c r="AC32" s="5" t="str">
        <v>浏览器正文</v>
      </c>
      <c r="AD32" s="5" t="str">
        <v>人工检索公司官网</v>
      </c>
      <c r="AE32" s="11" t="str">
        <v>https://jobs.ashbyhq.com/bedrock-robotics/8c7bad61-50e3-4702-be36-72e9b72a9760</v>
      </c>
    </row>
    <row r="33" ht="46" customHeight="1">
      <c r="A33" s="5" t="str">
        <v>J050</v>
      </c>
      <c r="B33" s="5" t="str">
        <v>P2</v>
      </c>
      <c r="C33" s="5" t="str">
        <v>Bedrock Robotics</v>
      </c>
      <c r="D33" s="5" t="str">
        <v>2027 Internship — Simulation Engineer, Neural Rendering</v>
      </c>
      <c r="E33" s="5" t="str">
        <v>D5</v>
      </c>
      <c r="F33" s="5" t="str">
        <v>B 时间与技能待确认</v>
      </c>
      <c r="G33" s="5" t="str">
        <v>美国</v>
      </c>
      <c r="H33" s="5" t="str">
        <v>San Francisco, CA（现场）</v>
      </c>
      <c r="I33" s="5" t="str">
        <v>2027；暑期未明确</v>
      </c>
      <c r="J33" s="5" t="str">
        <v>未公布；约3个月可行性待确认</v>
      </c>
      <c r="K33" s="5" t="str">
        <v>开放：浏览器实时招聘列表</v>
      </c>
      <c r="L33" s="10"/>
      <c r="M33" s="5" t="str">
        <v>未公布</v>
      </c>
      <c r="N33" s="5" t="str">
        <v>未公布截止，不等于长期有效</v>
      </c>
      <c r="O33" s="5" t="str">
        <v>BS/MS/PhD或同等</v>
      </c>
      <c r="P33" s="5" t="str">
        <v>非必需</v>
      </c>
      <c r="Q33" s="5" t="str">
        <v>未指定毕业年份</v>
      </c>
      <c r="R33" s="5" t="str">
        <v>未单独写明</v>
      </c>
      <c r="S33" s="5" t="str">
        <v>NeRF/3DGS真实场景合成、时序/速度及下游自治评估</v>
      </c>
      <c r="T33" s="5" t="str">
        <v>BS/MS/PhD或同等；Python/PyTorch、3D图形与神经场景表示</v>
      </c>
      <c r="U33" s="5" t="str">
        <v>Unity/Isaac/Unreal、CUDA、渲染研究</v>
      </c>
      <c r="V33" s="5" t="str">
        <v>Unity/AirSim、PICO场景复现</v>
      </c>
      <c r="W33" s="5" t="str">
        <v>NeRF/3DGS经验为实质缺口</v>
      </c>
      <c r="X33" s="5" t="str">
        <v>正文未明确；不推断个人资格</v>
      </c>
      <c r="Y33" s="5" t="str">
        <v>具体岗位</v>
      </c>
      <c r="Z33" s="5" t="str">
        <v>77759050-75f5-45ed-a3a8-35b665daaadc</v>
      </c>
      <c r="AA33" s="10" t="n">
        <v>46294</v>
      </c>
      <c r="AB33" s="5" t="str">
        <v>D5</v>
      </c>
      <c r="AC33" s="5" t="str">
        <v>浏览器正文</v>
      </c>
      <c r="AD33" s="5" t="str">
        <v>人工检索公司官网</v>
      </c>
      <c r="AE33" s="11" t="str">
        <v>https://jobs.ashbyhq.com/bedrock-robotics/77759050-75f5-45ed-a3a8-35b665daaadc</v>
      </c>
    </row>
    <row r="34" ht="46" customHeight="1">
      <c r="A34" s="5" t="str">
        <v>J052</v>
      </c>
      <c r="B34" s="5" t="str">
        <v>P2</v>
      </c>
      <c r="C34" s="5" t="str">
        <v>Bedrock Robotics</v>
      </c>
      <c r="D34" s="5" t="str">
        <v>2027 Internship — Hardware Engineer</v>
      </c>
      <c r="E34" s="5" t="str">
        <v>D5</v>
      </c>
      <c r="F34" s="5" t="str">
        <v>B 时间与技能待确认</v>
      </c>
      <c r="G34" s="5" t="str">
        <v>美国</v>
      </c>
      <c r="H34" s="5" t="str">
        <v>San Francisco, CA（现场）</v>
      </c>
      <c r="I34" s="5" t="str">
        <v>2027；暑期未明确</v>
      </c>
      <c r="J34" s="5" t="str">
        <v>未公布；约3个月可行性待确认</v>
      </c>
      <c r="K34" s="5" t="str">
        <v>开放：浏览器实时招聘列表</v>
      </c>
      <c r="L34" s="10"/>
      <c r="M34" s="5" t="str">
        <v>未公布</v>
      </c>
      <c r="N34" s="5" t="str">
        <v>未公布截止，不等于长期有效</v>
      </c>
      <c r="O34" s="5" t="str">
        <v>所读正文未限定</v>
      </c>
      <c r="P34" s="5" t="str">
        <v>非必需</v>
      </c>
      <c r="Q34" s="5" t="str">
        <v>未指定毕业年份</v>
      </c>
      <c r="R34" s="5" t="str">
        <v>未单独写明</v>
      </c>
      <c r="S34" s="5" t="str">
        <v>自主硬件集成、组件验证和传感器测试自动化</v>
      </c>
      <c r="T34" s="5" t="str">
        <v>所读JD未列学位硬门槛；Python/C++/C/Rust分析测试</v>
      </c>
      <c r="U34" s="5" t="str">
        <v>相机/lidar/IMU/GNSS、Jetson、通信协议</v>
      </c>
      <c r="V34" s="5" t="str">
        <v>GPS/lidar/IMU/camera集成与真机实验</v>
      </c>
      <c r="W34" s="5" t="str">
        <v>板级/协议/Jetson深度未确认</v>
      </c>
      <c r="X34" s="5" t="str">
        <v>正文未明确；不推断个人资格</v>
      </c>
      <c r="Y34" s="5" t="str">
        <v>具体岗位</v>
      </c>
      <c r="Z34" s="5" t="str">
        <v>949feb1b-c60f-43c5-94de-7dd9cd70ba4a</v>
      </c>
      <c r="AA34" s="10" t="n">
        <v>46294</v>
      </c>
      <c r="AB34" s="5" t="str">
        <v>D5</v>
      </c>
      <c r="AC34" s="5" t="str">
        <v>官方正文+浏览器实时列表</v>
      </c>
      <c r="AD34" s="5" t="str">
        <v>人工检索公司官网</v>
      </c>
      <c r="AE34" s="11" t="str">
        <v>https://jobs.ashbyhq.com/bedrock-robotics/949feb1b-c60f-43c5-94de-7dd9cd70ba4a</v>
      </c>
    </row>
    <row r="35" ht="46" customHeight="1">
      <c r="A35" s="5" t="str">
        <v>J053</v>
      </c>
      <c r="B35" s="5" t="str">
        <v>P2</v>
      </c>
      <c r="C35" s="5" t="str">
        <v>Bedrock Robotics</v>
      </c>
      <c r="D35" s="5" t="str">
        <v>2027 Internship — Sensor Hardware Test Engineer</v>
      </c>
      <c r="E35" s="5" t="str">
        <v>D5</v>
      </c>
      <c r="F35" s="5" t="str">
        <v>B 时间与技能待确认</v>
      </c>
      <c r="G35" s="5" t="str">
        <v>美国</v>
      </c>
      <c r="H35" s="5" t="str">
        <v>San Francisco, CA（现场）</v>
      </c>
      <c r="I35" s="5" t="str">
        <v>2027；暑期未明确</v>
      </c>
      <c r="J35" s="5" t="str">
        <v>未公布；约3个月可行性待确认</v>
      </c>
      <c r="K35" s="5" t="str">
        <v>开放：浏览器实时招聘列表</v>
      </c>
      <c r="L35" s="10"/>
      <c r="M35" s="5" t="str">
        <v>未公布</v>
      </c>
      <c r="N35" s="5" t="str">
        <v>未公布截止，不等于长期有效</v>
      </c>
      <c r="O35" s="5" t="str">
        <v>所读正文未限定</v>
      </c>
      <c r="P35" s="5" t="str">
        <v>非必需</v>
      </c>
      <c r="Q35" s="5" t="str">
        <v>未指定毕业年份</v>
      </c>
      <c r="R35" s="5" t="str">
        <v>未单独写明</v>
      </c>
      <c r="S35" s="5" t="str">
        <v>相机/lidar台架测试、工装DAQ、现场传感器评价</v>
      </c>
      <c r="T35" s="5" t="str">
        <v>动手传感器测试、数据分析及现场工作能力；学位待核</v>
      </c>
      <c r="U35" s="5" t="str">
        <v>CAD、Git、机器人/控制</v>
      </c>
      <c r="V35" s="5" t="str">
        <v>ASV硬件传感器与标定</v>
      </c>
      <c r="W35" s="5" t="str">
        <v>DAQ/测试规范证据待补</v>
      </c>
      <c r="X35" s="5" t="str">
        <v>正文未明确；不推断个人资格</v>
      </c>
      <c r="Y35" s="5" t="str">
        <v>具体岗位</v>
      </c>
      <c r="Z35" s="5" t="str">
        <v>1f413f83-b897-4938-a19e-ab91bd326c51</v>
      </c>
      <c r="AA35" s="10" t="n">
        <v>46294</v>
      </c>
      <c r="AB35" s="5" t="str">
        <v>D5</v>
      </c>
      <c r="AC35" s="5" t="str">
        <v>官方正文+浏览器实时列表</v>
      </c>
      <c r="AD35" s="5" t="str">
        <v>人工检索公司官网</v>
      </c>
      <c r="AE35" s="11" t="str">
        <v>https://jobs.ashbyhq.com/bedrock-robotics/1f413f83-b897-4938-a19e-ab91bd326c51</v>
      </c>
    </row>
    <row r="36" ht="46" customHeight="1">
      <c r="A36" s="5" t="str">
        <v>J051</v>
      </c>
      <c r="B36" s="5" t="str">
        <v>P3</v>
      </c>
      <c r="C36" s="5" t="str">
        <v>Bedrock Robotics</v>
      </c>
      <c r="D36" s="5" t="str">
        <v>2027 Internship — Safety Engineer, Agentic Safety Case Assessment</v>
      </c>
      <c r="E36" s="5" t="str">
        <v>D2</v>
      </c>
      <c r="F36" s="5" t="str">
        <v>B 时间与技能待确认</v>
      </c>
      <c r="G36" s="5" t="str">
        <v>美国</v>
      </c>
      <c r="H36" s="5" t="str">
        <v>San Francisco, CA（现场）</v>
      </c>
      <c r="I36" s="5" t="str">
        <v>2027；暑期未明确</v>
      </c>
      <c r="J36" s="5" t="str">
        <v>未公布；约3个月可行性待确认</v>
      </c>
      <c r="K36" s="5" t="str">
        <v>开放：浏览器实时招聘列表</v>
      </c>
      <c r="L36" s="10"/>
      <c r="M36" s="5" t="str">
        <v>未公布</v>
      </c>
      <c r="N36" s="5" t="str">
        <v>未公布截止，不等于长期有效</v>
      </c>
      <c r="O36" s="5" t="str">
        <v>所读正文未限定</v>
      </c>
      <c r="P36" s="5" t="str">
        <v>非必需</v>
      </c>
      <c r="Q36" s="5" t="str">
        <v>未指定毕业年份</v>
      </c>
      <c r="R36" s="5" t="str">
        <v>未单独写明</v>
      </c>
      <c r="S36" s="5" t="str">
        <v>Lean形式化安全声明、LLM辅助证明与真实车队证据审计</v>
      </c>
      <c r="T36" s="5" t="str">
        <v>Lean/mathlib、概率统计、LLM证明评估、安全机器人背景</v>
      </c>
      <c r="U36" s="5" t="str">
        <v>形式化安全论证、Rust验证工具</v>
      </c>
      <c r="V36" s="5" t="str">
        <v>安全研究兴趣与实机经历相邻</v>
      </c>
      <c r="W36" s="5" t="str">
        <v>未证明Lean/mathlib；CBF研究不能替代形式化证明经验</v>
      </c>
      <c r="X36" s="5" t="str">
        <v>正文未明确；不推断个人资格</v>
      </c>
      <c r="Y36" s="5" t="str">
        <v>具体岗位</v>
      </c>
      <c r="Z36" s="5" t="str">
        <v>cb06dc4f-3e78-4546-897d-b39ba12a9178</v>
      </c>
      <c r="AA36" s="10" t="n">
        <v>46294</v>
      </c>
      <c r="AB36" s="5" t="str">
        <v>D2</v>
      </c>
      <c r="AC36" s="5" t="str">
        <v>浏览器正文</v>
      </c>
      <c r="AD36" s="5" t="str">
        <v>人工检索公司官网</v>
      </c>
      <c r="AE36" s="11" t="str">
        <v>https://jobs.ashbyhq.com/bedrock-robotics/cb06dc4f-3e78-4546-897d-b39ba12a9178</v>
      </c>
    </row>
    <row r="37" ht="46" customHeight="1">
      <c r="A37" s="5" t="str">
        <v>J044</v>
      </c>
      <c r="B37" s="5" t="str">
        <v>P1</v>
      </c>
      <c r="C37" s="5" t="str">
        <v>Alibaba</v>
      </c>
      <c r="D37" s="5" t="str">
        <v>日常实习生—数据智多星—具身智能仿真方向</v>
      </c>
      <c r="E37" s="5" t="str">
        <v>D1</v>
      </c>
      <c r="F37" s="5" t="str">
        <v>B 时间待确认</v>
      </c>
      <c r="G37" s="5" t="str">
        <v>中国</v>
      </c>
      <c r="H37" s="5" t="str">
        <v>杭州</v>
      </c>
      <c r="I37" s="5" t="str">
        <v>日常实习，非已确认2027暑期</v>
      </c>
      <c r="J37" s="5" t="str">
        <v>未公布；约3个月可行性待确认</v>
      </c>
      <c r="K37" s="5" t="str">
        <v>官方JD索引可读；动态入口待确认</v>
      </c>
      <c r="L37" s="10"/>
      <c r="M37" s="5" t="str">
        <v>未公布</v>
      </c>
      <c r="N37" s="5" t="str">
        <v>未公布截止，不等于长期有效</v>
      </c>
      <c r="O37" s="5" t="str">
        <v>MS/PhD</v>
      </c>
      <c r="P37" s="5" t="str">
        <v>非必需</v>
      </c>
      <c r="Q37" s="5" t="str">
        <v>2026-11-01至2030-01-01毕业</v>
      </c>
      <c r="R37" s="5" t="str">
        <v>未单独写明</v>
      </c>
      <c r="S37" s="5" t="str">
        <v>3D资产生成、动作条件世界模型、VLA数据闭环评测</v>
      </c>
      <c r="T37" s="5" t="str">
        <v>MS/PhD；3D生成或视频世界模型相关经验</v>
      </c>
      <c r="U37" s="5" t="str">
        <v>顶会论文、物理仿真</v>
      </c>
      <c r="V37" s="5" t="str">
        <v>Unitree场景复现与CMU世界模型在研</v>
      </c>
      <c r="W37" s="5" t="str">
        <v>尚无已完成世界模型结果；暑期与时长待确认</v>
      </c>
      <c r="X37" s="5" t="str">
        <v>正文未明确；不推断个人资格</v>
      </c>
      <c r="Y37" s="5" t="str">
        <v>具体岗位</v>
      </c>
      <c r="Z37" s="5" t="str">
        <v>199904300004</v>
      </c>
      <c r="AA37" s="10" t="n">
        <v>46294</v>
      </c>
      <c r="AB37" s="5" t="str">
        <v>D1</v>
      </c>
      <c r="AC37" s="5" t="str">
        <v>官方正文</v>
      </c>
      <c r="AD37" s="5" t="str">
        <v>人工检索公司官网</v>
      </c>
      <c r="AE37" s="11" t="str">
        <v>https://campus-talent.alibaba.com/campus/position/199904300004</v>
      </c>
    </row>
    <row r="38" ht="46" customHeight="1">
      <c r="A38" s="5" t="str">
        <v>J030</v>
      </c>
      <c r="B38" s="5" t="str">
        <v>P1</v>
      </c>
      <c r="C38" s="5" t="str">
        <v>Bedrock Robotics</v>
      </c>
      <c r="D38" s="5" t="str">
        <v>2027 Internship — Behavior ML Engineer, World Models</v>
      </c>
      <c r="E38" s="5" t="str">
        <v>D1</v>
      </c>
      <c r="F38" s="5" t="str">
        <v>B 时间待确认</v>
      </c>
      <c r="G38" s="5" t="str">
        <v>美国</v>
      </c>
      <c r="H38" s="5" t="str">
        <v>San Francisco, CA（现场）</v>
      </c>
      <c r="I38" s="5" t="str">
        <v>2027；暑期未明确</v>
      </c>
      <c r="J38" s="5" t="str">
        <v>未公布；约3个月可行性待确认</v>
      </c>
      <c r="K38" s="5" t="str">
        <v>开放：浏览器实时招聘列表</v>
      </c>
      <c r="L38" s="10"/>
      <c r="M38" s="5" t="str">
        <v>未公布</v>
      </c>
      <c r="N38" s="5" t="str">
        <v>未公布截止，不等于长期有效</v>
      </c>
      <c r="O38" s="5" t="str">
        <v>BS/MS/PhD或同等经验</v>
      </c>
      <c r="P38" s="5" t="str">
        <v>非必需</v>
      </c>
      <c r="Q38" s="5" t="str">
        <v>未指定毕业年份</v>
      </c>
      <c r="R38" s="5" t="str">
        <v>未单独写明</v>
      </c>
      <c r="S38" s="5" t="str">
        <v>真实车队世界模型训练、消融与控制连接</v>
      </c>
      <c r="T38" s="5" t="str">
        <v>BS/MS/PhD或同等；Python、PyTorch、复现论文与实验判断</v>
      </c>
      <c r="U38" s="5" t="str">
        <v>视频预测/世界模型、RL/IL、大规模训练</v>
      </c>
      <c r="V38" s="5" t="str">
        <v>Unitree数据与策略适配；CMU在研世界模型</v>
      </c>
      <c r="W38" s="5" t="str">
        <v>世界模型研究进行中；不得声称已完成成果</v>
      </c>
      <c r="X38" s="5" t="str">
        <v>正文未明确；不推断个人资格</v>
      </c>
      <c r="Y38" s="5" t="str">
        <v>具体岗位</v>
      </c>
      <c r="Z38" s="5" t="str">
        <v>c51d682e-58ee-44de-886f-4cfacb56d2e1</v>
      </c>
      <c r="AA38" s="10" t="n">
        <v>46294</v>
      </c>
      <c r="AB38" s="5" t="str">
        <v>D1</v>
      </c>
      <c r="AC38" s="5" t="str">
        <v>官方正文+浏览器实时列表</v>
      </c>
      <c r="AD38" s="5" t="str">
        <v>CMU招聘邮件（V&amp;V）/官网人工检索</v>
      </c>
      <c r="AE38" s="11" t="str">
        <v>https://jobs.ashbyhq.com/bedrock-robotics/c51d682e-58ee-44de-886f-4cfacb56d2e1</v>
      </c>
    </row>
    <row r="39" ht="46" customHeight="1">
      <c r="A39" s="5" t="str">
        <v>J031</v>
      </c>
      <c r="B39" s="5" t="str">
        <v>P1</v>
      </c>
      <c r="C39" s="5" t="str">
        <v>Bedrock Robotics</v>
      </c>
      <c r="D39" s="5" t="str">
        <v>2027 Internship — Onboard Infrastructure Engineer, ML Inference</v>
      </c>
      <c r="E39" s="5" t="str">
        <v>D3</v>
      </c>
      <c r="F39" s="5" t="str">
        <v>B 时间待确认</v>
      </c>
      <c r="G39" s="5" t="str">
        <v>美国</v>
      </c>
      <c r="H39" s="5" t="str">
        <v>San Francisco, CA（现场）</v>
      </c>
      <c r="I39" s="5" t="str">
        <v>2027；暑期未明确</v>
      </c>
      <c r="J39" s="5" t="str">
        <v>未公布；约3个月可行性待确认</v>
      </c>
      <c r="K39" s="5" t="str">
        <v>开放：浏览器实时招聘列表</v>
      </c>
      <c r="L39" s="10"/>
      <c r="M39" s="5" t="str">
        <v>未公布</v>
      </c>
      <c r="N39" s="5" t="str">
        <v>未公布截止，不等于长期有效</v>
      </c>
      <c r="O39" s="5" t="str">
        <v>BS/MS/PhD或同等经验</v>
      </c>
      <c r="P39" s="5" t="str">
        <v>非必需</v>
      </c>
      <c r="Q39" s="5" t="str">
        <v>未指定毕业年份</v>
      </c>
      <c r="R39" s="5" t="str">
        <v>未单独写明</v>
      </c>
      <c r="S39" s="5" t="str">
        <v>LLM/VLA边端集成、确定性延迟与推理优化</v>
      </c>
      <c r="T39" s="5" t="str">
        <v>BS/MS/PhD；Rust/C++、PyTorch/JAX、GPU/CUDA或并行</v>
      </c>
      <c r="U39" s="5" t="str">
        <v>TensorRT/ONNX、KV管理、量化</v>
      </c>
      <c r="V39" s="5" t="str">
        <v>VLM KV压缩+机器人部署</v>
      </c>
      <c r="W39" s="5" t="str">
        <v>CUDA/Rust/推理kernel性能证据不足</v>
      </c>
      <c r="X39" s="5" t="str">
        <v>正文未明确；不推断个人资格</v>
      </c>
      <c r="Y39" s="5" t="str">
        <v>具体岗位</v>
      </c>
      <c r="Z39" s="5" t="str">
        <v>0331551e-c18e-428a-8e91-e6cb25c9c2e8</v>
      </c>
      <c r="AA39" s="10" t="n">
        <v>46294</v>
      </c>
      <c r="AB39" s="5" t="str">
        <v>D3</v>
      </c>
      <c r="AC39" s="5" t="str">
        <v>官方正文+浏览器实时列表</v>
      </c>
      <c r="AD39" s="5" t="str">
        <v>CMU招聘邮件（V&amp;V）/官网人工检索</v>
      </c>
      <c r="AE39" s="11" t="str">
        <v>https://jobs.ashbyhq.com/bedrock-robotics/0331551e-c18e-428a-8e91-e6cb25c9c2e8</v>
      </c>
    </row>
    <row r="40" ht="46" customHeight="1">
      <c r="A40" s="5" t="str">
        <v>J032</v>
      </c>
      <c r="B40" s="5" t="str">
        <v>P1</v>
      </c>
      <c r="C40" s="5" t="str">
        <v>Bedrock Robotics</v>
      </c>
      <c r="D40" s="5" t="str">
        <v>2027 Internship — Validation &amp; Verification Test Engineer</v>
      </c>
      <c r="E40" s="5" t="str">
        <v>D2</v>
      </c>
      <c r="F40" s="5" t="str">
        <v>B 时间待确认</v>
      </c>
      <c r="G40" s="5" t="str">
        <v>美国</v>
      </c>
      <c r="H40" s="5" t="str">
        <v>San Francisco, CA（现场）</v>
      </c>
      <c r="I40" s="5" t="str">
        <v>2027；暑期未明确</v>
      </c>
      <c r="J40" s="5" t="str">
        <v>未公布；约3个月可行性待确认</v>
      </c>
      <c r="K40" s="5" t="str">
        <v>开放：浏览器实时招聘列表</v>
      </c>
      <c r="L40" s="10"/>
      <c r="M40" s="5" t="str">
        <v>未公布</v>
      </c>
      <c r="N40" s="5" t="str">
        <v>未公布截止，不等于长期有效</v>
      </c>
      <c r="O40" s="5" t="str">
        <v>所读正文未限定</v>
      </c>
      <c r="P40" s="5" t="str">
        <v>非必需</v>
      </c>
      <c r="Q40" s="5" t="str">
        <v>未指定毕业年份</v>
      </c>
      <c r="R40" s="5" t="str">
        <v>未单独写明</v>
      </c>
      <c r="S40" s="5" t="str">
        <v>执行器响应/时延/死区等系统验证、分析sim/real差异</v>
      </c>
      <c r="T40" s="5" t="str">
        <v>控制或系统辨识、Python、传感器/DAQ、现场测试</v>
      </c>
      <c r="U40" s="5" t="str">
        <v>ROS、机器人仿真、液压</v>
      </c>
      <c r="V40" s="5" t="str">
        <v>实船控制、传感器校准、实机评测</v>
      </c>
      <c r="W40" s="5" t="str">
        <v>液压与重型机械经验未知</v>
      </c>
      <c r="X40" s="5" t="str">
        <v>正文未明确；不推断个人资格</v>
      </c>
      <c r="Y40" s="5" t="str">
        <v>具体岗位</v>
      </c>
      <c r="Z40" s="5" t="str">
        <v>c396dedc-06ec-4a23-8408-0194e360f30e</v>
      </c>
      <c r="AA40" s="10" t="n">
        <v>46294</v>
      </c>
      <c r="AB40" s="5" t="str">
        <v>D2</v>
      </c>
      <c r="AC40" s="5" t="str">
        <v>官方正文+浏览器实时列表</v>
      </c>
      <c r="AD40" s="5" t="str">
        <v>CMU招聘邮件（V&amp;V）/官网人工检索</v>
      </c>
      <c r="AE40" s="11" t="str">
        <v>https://jobs.ashbyhq.com/bedrock-robotics/c396dedc-06ec-4a23-8408-0194e360f30e</v>
      </c>
    </row>
    <row r="41" ht="46" customHeight="1">
      <c r="A41" s="5" t="str">
        <v>J034</v>
      </c>
      <c r="B41" s="5" t="str">
        <v>P1</v>
      </c>
      <c r="C41" s="5" t="str">
        <v>Bedrock Robotics</v>
      </c>
      <c r="D41" s="5" t="str">
        <v>2027 Internship — Sensor Systems Engineer</v>
      </c>
      <c r="E41" s="5" t="str">
        <v>D4</v>
      </c>
      <c r="F41" s="5" t="str">
        <v>B 时间待确认</v>
      </c>
      <c r="G41" s="5" t="str">
        <v>美国</v>
      </c>
      <c r="H41" s="5" t="str">
        <v>San Francisco, CA（现场）</v>
      </c>
      <c r="I41" s="5" t="str">
        <v>2027；暑期未明确</v>
      </c>
      <c r="J41" s="5" t="str">
        <v>未公布；约3个月可行性待确认</v>
      </c>
      <c r="K41" s="5" t="str">
        <v>开放：浏览器实时招聘列表</v>
      </c>
      <c r="L41" s="10"/>
      <c r="M41" s="5" t="str">
        <v>未公布</v>
      </c>
      <c r="N41" s="5" t="str">
        <v>未公布截止，不等于长期有效</v>
      </c>
      <c r="O41" s="5" t="str">
        <v>BS/MS/PhD或同等经验</v>
      </c>
      <c r="P41" s="5" t="str">
        <v>非必需</v>
      </c>
      <c r="Q41" s="5" t="str">
        <v>未指定毕业年份</v>
      </c>
      <c r="R41" s="5" t="str">
        <v>未单独写明</v>
      </c>
      <c r="S41" s="5" t="str">
        <v>传感器视场/位置/遮挡权衡与现场验证</v>
      </c>
      <c r="T41" s="5" t="str">
        <v>BS/MS/PhD或同等；3D变换、Python、CAD</v>
      </c>
      <c r="U41" s="5" t="str">
        <v>传感器覆盖仿真、自动驾驶suite</v>
      </c>
      <c r="V41" s="5" t="str">
        <v>GPS/lidar/IMU/camera集成与标定</v>
      </c>
      <c r="W41" s="5" t="str">
        <v>传感器物理/覆盖模拟经验待补</v>
      </c>
      <c r="X41" s="5" t="str">
        <v>正文未明确；不推断个人资格</v>
      </c>
      <c r="Y41" s="5" t="str">
        <v>具体岗位</v>
      </c>
      <c r="Z41" s="5" t="str">
        <v>d7da851b-55c2-45d4-bf8b-aa879282f25c</v>
      </c>
      <c r="AA41" s="10" t="n">
        <v>46294</v>
      </c>
      <c r="AB41" s="5" t="str">
        <v>D4</v>
      </c>
      <c r="AC41" s="5" t="str">
        <v>官方正文+浏览器实时列表</v>
      </c>
      <c r="AD41" s="5" t="str">
        <v>CMU招聘邮件（V&amp;V）/官网人工检索</v>
      </c>
      <c r="AE41" s="11" t="str">
        <v>https://jobs.ashbyhq.com/bedrock-robotics/d7da851b-55c2-45d4-bf8b-aa879282f25c</v>
      </c>
    </row>
    <row r="42" ht="46" customHeight="1">
      <c r="A42" s="5" t="str">
        <v>J035</v>
      </c>
      <c r="B42" s="5" t="str">
        <v>P1</v>
      </c>
      <c r="C42" s="5" t="str">
        <v>Bedrock Robotics</v>
      </c>
      <c r="D42" s="5" t="str">
        <v>2027 Internship — Hardware Engineer, Machine Integration &amp; Test</v>
      </c>
      <c r="E42" s="5" t="str">
        <v>D5</v>
      </c>
      <c r="F42" s="5" t="str">
        <v>B 时间待确认</v>
      </c>
      <c r="G42" s="5" t="str">
        <v>美国</v>
      </c>
      <c r="H42" s="5" t="str">
        <v>San Francisco, CA（现场）</v>
      </c>
      <c r="I42" s="5" t="str">
        <v>2027；暑期未明确</v>
      </c>
      <c r="J42" s="5" t="str">
        <v>未公布；约3个月可行性待确认</v>
      </c>
      <c r="K42" s="5" t="str">
        <v>开放：浏览器实时招聘列表</v>
      </c>
      <c r="L42" s="10"/>
      <c r="M42" s="5" t="str">
        <v>未公布</v>
      </c>
      <c r="N42" s="5" t="str">
        <v>未公布截止，不等于长期有效</v>
      </c>
      <c r="O42" s="5" t="str">
        <v>BS/MS或同等</v>
      </c>
      <c r="P42" s="5" t="str">
        <v>非必需</v>
      </c>
      <c r="Q42" s="5" t="str">
        <v>未指定毕业年份</v>
      </c>
      <c r="R42" s="5" t="str">
        <v>未单独写明</v>
      </c>
      <c r="S42" s="5" t="str">
        <v>机载硬件接口、支架/线束、台架测试</v>
      </c>
      <c r="T42" s="5" t="str">
        <v>BS/MS或同等；CAD、动手制造、基础电气</v>
      </c>
      <c r="U42" s="5" t="str">
        <v>线束设计、机加工/3D打印</v>
      </c>
      <c r="V42" s="5" t="str">
        <v>机械和电气学位、传感器安装</v>
      </c>
      <c r="W42" s="5" t="str">
        <v>重型工程车经验未知；偏硬件</v>
      </c>
      <c r="X42" s="5" t="str">
        <v>正文未明确；不推断个人资格</v>
      </c>
      <c r="Y42" s="5" t="str">
        <v>具体岗位</v>
      </c>
      <c r="Z42" s="5" t="str">
        <v>c9c08251-6a42-4f9c-be4d-2621995cc8f9</v>
      </c>
      <c r="AA42" s="10" t="n">
        <v>46294</v>
      </c>
      <c r="AB42" s="5" t="str">
        <v>D5</v>
      </c>
      <c r="AC42" s="5" t="str">
        <v>官方正文+浏览器实时列表</v>
      </c>
      <c r="AD42" s="5" t="str">
        <v>CMU招聘邮件（V&amp;V）/官网人工检索</v>
      </c>
      <c r="AE42" s="11" t="str">
        <v>https://jobs.ashbyhq.com/bedrock-robotics/c9c08251-6a42-4f9c-be4d-2621995cc8f9</v>
      </c>
    </row>
    <row r="43" ht="46" customHeight="1">
      <c r="A43" s="5" t="str">
        <v>J017</v>
      </c>
      <c r="B43" s="5" t="str">
        <v>P1</v>
      </c>
      <c r="C43" s="5" t="str">
        <v>NVIDIA</v>
      </c>
      <c r="D43" s="5" t="str">
        <v>AI Developer Technology Intern, Robotics — 2027</v>
      </c>
      <c r="E43" s="5" t="str">
        <v>D1</v>
      </c>
      <c r="F43" s="5" t="str">
        <v>B 时间待确认</v>
      </c>
      <c r="G43" s="5" t="str">
        <v>中国</v>
      </c>
      <c r="H43" s="5" t="str">
        <v>上海/中国</v>
      </c>
      <c r="I43" s="5" t="str">
        <v>2027，季节未写明</v>
      </c>
      <c r="J43" s="5" t="str">
        <v>未公布；约3个月可行性待确认</v>
      </c>
      <c r="K43" s="5" t="str">
        <v>官方JD索引可读；动态入口待确认</v>
      </c>
      <c r="L43" s="10"/>
      <c r="M43" s="5" t="str">
        <v>未公布</v>
      </c>
      <c r="N43" s="5" t="str">
        <v>未公布截止，不等于长期有效</v>
      </c>
      <c r="O43" s="5" t="str">
        <v>MS/PhD</v>
      </c>
      <c r="P43" s="5" t="str">
        <v>非必需</v>
      </c>
      <c r="Q43" s="5" t="str">
        <v>未指定毕业年份</v>
      </c>
      <c r="R43" s="5" t="str">
        <v>未单独写明</v>
      </c>
      <c r="S43" s="5" t="str">
        <v>机器人基础模型训练/推理、VLA与世界模型技术优化</v>
      </c>
      <c r="T43" s="5" t="str">
        <v>MS/PhD；Python/PyTorch、机器人/AI</v>
      </c>
      <c r="U43" s="5" t="str">
        <v>CUDA、分布式FSDP/NeMo等</v>
      </c>
      <c r="V43" s="5" t="str">
        <v>GR00T/OpenPI部署与VLM研究</v>
      </c>
      <c r="W43" s="5" t="str">
        <v>CUDA/大规模训练未确认；暑期与3个月需确认</v>
      </c>
      <c r="X43" s="5" t="str">
        <v>正文未明确；不推断个人资格</v>
      </c>
      <c r="Y43" s="5" t="str">
        <v>具体岗位</v>
      </c>
      <c r="Z43" s="5" t="str">
        <v>JR2024054</v>
      </c>
      <c r="AA43" s="10" t="n">
        <v>46294</v>
      </c>
      <c r="AB43" s="5" t="str">
        <v>D1</v>
      </c>
      <c r="AC43" s="5" t="str">
        <v>官方正文</v>
      </c>
      <c r="AD43" s="5" t="str">
        <v>人工检索公司官网</v>
      </c>
      <c r="AE43" s="11" t="str">
        <v>https://nvidia.wd5.myworkdayjobs.com/NVIDIAExternalCareerSite/job/China-Shanghai/AI-Developer-Technology-Intern--Robotics---2027_JR2024054-1</v>
      </c>
    </row>
    <row r="44" ht="46" customHeight="1">
      <c r="A44" s="5" t="str">
        <v>J003</v>
      </c>
      <c r="B44" s="5" t="str">
        <v>P2</v>
      </c>
      <c r="C44" s="5" t="str">
        <v>Waymo</v>
      </c>
      <c r="D44" s="5" t="str">
        <v>2027 Summer Intern — Perception Machine Learning</v>
      </c>
      <c r="E44" s="5" t="str">
        <v>D3</v>
      </c>
      <c r="F44" s="5" t="str">
        <v>B 额外资格待核</v>
      </c>
      <c r="G44" s="5" t="str">
        <v>美国</v>
      </c>
      <c r="H44" s="5" t="str">
        <v>Mountain View, CA</v>
      </c>
      <c r="I44" s="5" t="str">
        <v>2027暑期</v>
      </c>
      <c r="J44" s="5" t="str">
        <v>未公布；约3个月可行性待确认</v>
      </c>
      <c r="K44" s="5" t="str">
        <v>开放：官网JD及申请入口</v>
      </c>
      <c r="L44" s="10"/>
      <c r="M44" s="5" t="str">
        <v>滚动</v>
      </c>
      <c r="N44" s="5" t="str">
        <v>官方写明岗位填满为止；每人建议最多申请3个岗位</v>
      </c>
      <c r="O44" s="5" t="str">
        <v>PhD或强发表记录MS</v>
      </c>
      <c r="P44" s="5" t="str">
        <v>PhD或MS强发表记录</v>
      </c>
      <c r="Q44" s="5" t="str">
        <v>未指定毕业年份</v>
      </c>
      <c r="R44" s="5" t="str">
        <v>未单独写明</v>
      </c>
      <c r="S44" s="5" t="str">
        <v>多传感器3D检测、跟踪、占用及基础模型</v>
      </c>
      <c r="T44" s="5" t="str">
        <v>PhD，或具有强发表记录的MS；Python与深度学习</v>
      </c>
      <c r="U44" s="5" t="str">
        <v>多模态感知、论文</v>
      </c>
      <c r="V44" s="5" t="str">
        <v>视觉KV、分割和VLM研究</v>
      </c>
      <c r="W44" s="5" t="str">
        <v>MS强发表记录为额外门槛；投稿不等于发表</v>
      </c>
      <c r="X44" s="5" t="str">
        <v>正文未明确；不推断个人资格</v>
      </c>
      <c r="Y44" s="5" t="str">
        <v>具体岗位</v>
      </c>
      <c r="Z44" s="5" t="str">
        <v>5456</v>
      </c>
      <c r="AA44" s="10" t="n">
        <v>46294</v>
      </c>
      <c r="AB44" s="5" t="str">
        <v>D3</v>
      </c>
      <c r="AC44" s="5" t="str">
        <v>官方正文</v>
      </c>
      <c r="AD44" s="5" t="str">
        <v>人工检索公司官网</v>
      </c>
      <c r="AE44" s="11" t="str">
        <v>https://careers.withwaymo.com/jobs/2027-summer-intern-ms-phd-perception-machine-learning-mountain-view-california-united-states</v>
      </c>
    </row>
    <row r="45" ht="46" customHeight="1">
      <c r="A45" s="5" t="str">
        <v>J042</v>
      </c>
      <c r="B45" s="5" t="str">
        <v>观察</v>
      </c>
      <c r="C45" s="5" t="str">
        <v>Figure</v>
      </c>
      <c r="D45" s="5" t="str">
        <v>Special Projects Intern — Fall 2026</v>
      </c>
      <c r="E45" s="5" t="str">
        <v>D5</v>
      </c>
      <c r="F45" s="5" t="str">
        <v>C 季节不符</v>
      </c>
      <c r="G45" s="5" t="str">
        <v>美国</v>
      </c>
      <c r="H45" s="5" t="str">
        <v>San Jose, CA</v>
      </c>
      <c r="I45" s="5" t="str">
        <v>2026秋季</v>
      </c>
      <c r="J45" s="5" t="str">
        <v>至少10周，偏好1-2学期</v>
      </c>
      <c r="K45" s="5" t="str">
        <v>开放：官网JD及申请入口</v>
      </c>
      <c r="L45" s="10"/>
      <c r="M45" s="5" t="str">
        <v>未公布</v>
      </c>
      <c r="N45" s="5" t="str">
        <v>未公布截止，不等于长期有效</v>
      </c>
      <c r="O45" s="5" t="str">
        <v>MS/PhD</v>
      </c>
      <c r="P45" s="5" t="str">
        <v>非必需</v>
      </c>
      <c r="Q45" s="5" t="str">
        <v>未指定毕业年份</v>
      </c>
      <c r="R45" s="5" t="str">
        <v>未单独写明</v>
      </c>
      <c r="S45" s="5" t="str">
        <v>机器人演示与行为序列、现场调试和跨团队系统集成</v>
      </c>
      <c r="T45" s="5" t="str">
        <v>研究生MS/PhD；Python、Linux、机器人系统</v>
      </c>
      <c r="U45" s="5" t="str">
        <v>实际AI/机器人演示</v>
      </c>
      <c r="V45" s="5" t="str">
        <v>Dexmate现场演示高度相关</v>
      </c>
      <c r="W45" s="5" t="str">
        <v>季节为Fall 2026，不能作为Summer 2027</v>
      </c>
      <c r="X45" s="5" t="str">
        <v>正文未明确；不推断个人资格</v>
      </c>
      <c r="Y45" s="5" t="str">
        <v>具体岗位</v>
      </c>
      <c r="Z45" s="5" t="str">
        <v>4694889006</v>
      </c>
      <c r="AA45" s="10" t="n">
        <v>46294</v>
      </c>
      <c r="AB45" s="5" t="str">
        <v>D5</v>
      </c>
      <c r="AC45" s="5" t="str">
        <v>官方正文</v>
      </c>
      <c r="AD45" s="5" t="str">
        <v>人工检索公司官网</v>
      </c>
      <c r="AE45" s="11" t="str">
        <v>https://job-boards.greenhouse.io/figureai/jobs/4694889006</v>
      </c>
    </row>
    <row r="46" ht="46" customHeight="1">
      <c r="A46" s="5" t="str">
        <v>J033</v>
      </c>
      <c r="B46" s="5" t="str">
        <v>排除</v>
      </c>
      <c r="C46" s="5" t="str">
        <v>Bedrock Robotics</v>
      </c>
      <c r="D46" s="5" t="str">
        <v>2027 Internship — Evaluation Engineer, Metric Prototyping</v>
      </c>
      <c r="E46" s="5" t="str">
        <v>D5</v>
      </c>
      <c r="F46" s="5" t="str">
        <v>C 已撤下</v>
      </c>
      <c r="G46" s="5" t="str">
        <v>美国</v>
      </c>
      <c r="H46" s="5" t="str">
        <v>San Francisco, CA（现场）</v>
      </c>
      <c r="I46" s="5" t="str">
        <v>2027；暑期未明确</v>
      </c>
      <c r="J46" s="5" t="str">
        <v>未公布；约3个月可行性待确认</v>
      </c>
      <c r="K46" s="5" t="str">
        <v>已撤下：浏览器显示Job not found</v>
      </c>
      <c r="L46" s="10"/>
      <c r="M46" s="5" t="str">
        <v>未公布</v>
      </c>
      <c r="N46" s="5" t="str">
        <v>旧索引仍存在；2026-09-29实时页面已撤下</v>
      </c>
      <c r="O46" s="5" t="str">
        <v>BS/MS/PhD或同等经验</v>
      </c>
      <c r="P46" s="5" t="str">
        <v>非必需</v>
      </c>
      <c r="Q46" s="5" t="str">
        <v>未指定毕业年份</v>
      </c>
      <c r="R46" s="5" t="str">
        <v>未单独写明</v>
      </c>
      <c r="S46" s="5" t="str">
        <v>原型指标、现场真值验证、回归评估与分析工具</v>
      </c>
      <c r="T46" s="5" t="str">
        <v>BS/MS/PhD或同等；Python、统计、定义可解释指标</v>
      </c>
      <c r="U46" s="5" t="str">
        <v>机器人评测、点云/测绘</v>
      </c>
      <c r="V46" s="5" t="str">
        <v>8任务24场景benchmark、预算匹配评测</v>
      </c>
      <c r="W46" s="5" t="str">
        <v>施工域指标/现场真值需学习；该链接已无岗位</v>
      </c>
      <c r="X46" s="5" t="str">
        <v>正文未明确；不推断个人资格</v>
      </c>
      <c r="Y46" s="5" t="str">
        <v>具体岗位</v>
      </c>
      <c r="Z46" s="5" t="str">
        <v>07b55743-d5c4-4347-bfac-000821317b13</v>
      </c>
      <c r="AA46" s="10" t="n">
        <v>46294</v>
      </c>
      <c r="AB46" s="5" t="str">
        <v>D5</v>
      </c>
      <c r="AC46" s="5" t="str">
        <v>官方旧索引+实时Job not found</v>
      </c>
      <c r="AD46" s="5" t="str">
        <v>CMU招聘邮件（V&amp;V）/官网人工检索</v>
      </c>
      <c r="AE46" s="11" t="str">
        <v>https://jobs.ashbyhq.com/bedrock-robotics/07b55743-d5c4-4347-bfac-000821317b13</v>
      </c>
    </row>
    <row r="47" ht="46" customHeight="1">
      <c r="A47" s="5" t="str">
        <v>J045</v>
      </c>
      <c r="B47" s="5" t="str">
        <v>排除</v>
      </c>
      <c r="C47" s="5" t="str">
        <v>Baidu</v>
      </c>
      <c r="D47" s="5" t="str">
        <v>大模型/多模态算法实习生</v>
      </c>
      <c r="E47" s="5" t="str">
        <v>D3</v>
      </c>
      <c r="F47" s="5" t="str">
        <v>C 时长不符</v>
      </c>
      <c r="G47" s="5" t="str">
        <v>中国</v>
      </c>
      <c r="H47" s="5" t="str">
        <v>北京/深圳（以岗位页为准）</v>
      </c>
      <c r="I47" s="5" t="str">
        <v>日常实习；未注明2027</v>
      </c>
      <c r="J47" s="5" t="str">
        <v>至少4个月</v>
      </c>
      <c r="K47" s="5" t="str">
        <v>官网实习正文可读</v>
      </c>
      <c r="L47" s="10"/>
      <c r="M47" s="5" t="str">
        <v>未公布</v>
      </c>
      <c r="N47" s="5" t="str">
        <v>未公布截止，不等于长期有效</v>
      </c>
      <c r="O47" s="5" t="str">
        <v>所读正文未明确学位层级</v>
      </c>
      <c r="P47" s="5" t="str">
        <v>非必需</v>
      </c>
      <c r="Q47" s="5" t="str">
        <v>未指定毕业年份</v>
      </c>
      <c r="R47" s="5" t="str">
        <v>未单独写明</v>
      </c>
      <c r="S47" s="5" t="str">
        <v>大模型、多模态算法与训练优化</v>
      </c>
      <c r="T47" s="5" t="str">
        <v>Python、PyTorch/Paddle、Transformers</v>
      </c>
      <c r="U47" s="5" t="str">
        <v>论文、相关研究</v>
      </c>
      <c r="V47" s="5" t="str">
        <v>视觉KV、视频与agent经验；Agent/RL为相邻方向</v>
      </c>
      <c r="W47" s="5" t="str">
        <v>最少4个月，与约3个月不符</v>
      </c>
      <c r="X47" s="5" t="str">
        <v>正文未明确；不推断个人资格</v>
      </c>
      <c r="Y47" s="5" t="str">
        <v>具体岗位</v>
      </c>
      <c r="Z47" s="5" t="str">
        <v>J99230</v>
      </c>
      <c r="AA47" s="10" t="n">
        <v>46294</v>
      </c>
      <c r="AB47" s="5" t="str">
        <v>D3</v>
      </c>
      <c r="AC47" s="5" t="str">
        <v>官方正文</v>
      </c>
      <c r="AD47" s="5" t="str">
        <v>人工检索公司官网</v>
      </c>
      <c r="AE47" s="11" t="str">
        <v>https://talent.baidu.com/jobs/detail/INTERN/f8a467f0-2a4a-4238-a21c-412408f85c2e</v>
      </c>
    </row>
    <row r="48" ht="46" customHeight="1">
      <c r="A48" s="5" t="str">
        <v>J043</v>
      </c>
      <c r="B48" s="5" t="str">
        <v>排除</v>
      </c>
      <c r="C48" s="5" t="str">
        <v>AMD</v>
      </c>
      <c r="D48" s="5" t="str">
        <v>PhD ML Systems Research Intern — Summer 2027</v>
      </c>
      <c r="E48" s="5" t="str">
        <v>D3</v>
      </c>
      <c r="F48" s="5" t="str">
        <v>C 硬条件不符</v>
      </c>
      <c r="G48" s="5" t="str">
        <v>美国</v>
      </c>
      <c r="H48" s="5" t="str">
        <v>美国</v>
      </c>
      <c r="I48" s="5" t="str">
        <v>2027暑期</v>
      </c>
      <c r="J48" s="5" t="str">
        <v>05-24至08-13或06-21至09-10</v>
      </c>
      <c r="K48" s="5" t="str">
        <v>官方JD索引可读；动态入口待确认</v>
      </c>
      <c r="L48" s="10"/>
      <c r="M48" s="5" t="str">
        <v>未公布</v>
      </c>
      <c r="N48" s="5" t="str">
        <v>未公布截止，不等于长期有效</v>
      </c>
      <c r="O48" s="5" t="str">
        <v>PhD在读</v>
      </c>
      <c r="P48" s="5" t="str">
        <v>必需</v>
      </c>
      <c r="Q48" s="5" t="str">
        <v>未指定毕业年份</v>
      </c>
      <c r="R48" s="5" t="str">
        <v>未单独写明</v>
      </c>
      <c r="S48" s="5" t="str">
        <v>分布式训练、RL评估与推理系统研究</v>
      </c>
      <c r="T48" s="5" t="str">
        <v>PhD在读；Python/PyTorch与ML系统</v>
      </c>
      <c r="U48" s="5" t="str">
        <v>大规模训练/推理</v>
      </c>
      <c r="V48" s="5" t="str">
        <v>预算匹配KV研究相邻</v>
      </c>
      <c r="W48" s="5" t="str">
        <v>PhD硬门槛</v>
      </c>
      <c r="X48" s="5" t="str">
        <v>JD写明不支持担保</v>
      </c>
      <c r="Y48" s="5" t="str">
        <v>具体岗位</v>
      </c>
      <c r="Z48" s="5" t="str">
        <v>90993</v>
      </c>
      <c r="AA48" s="10" t="n">
        <v>46294</v>
      </c>
      <c r="AB48" s="5" t="str">
        <v>D3</v>
      </c>
      <c r="AC48" s="5" t="str">
        <v>官方正文</v>
      </c>
      <c r="AD48" s="5" t="str">
        <v>人工检索公司官网</v>
      </c>
      <c r="AE48" s="11" t="str">
        <v>https://careers.amd.com/students/jobs/90993?lang=en-us</v>
      </c>
    </row>
    <row r="49" ht="46" customHeight="1">
      <c r="A49" s="5" t="str">
        <v>J018</v>
      </c>
      <c r="B49" s="5" t="str">
        <v>排除</v>
      </c>
      <c r="C49" s="5" t="str">
        <v>NVIDIA</v>
      </c>
      <c r="D49" s="5" t="str">
        <v>Research Intern, Robotics — Summer 2027</v>
      </c>
      <c r="E49" s="5" t="str">
        <v>D1</v>
      </c>
      <c r="F49" s="5" t="str">
        <v>C 硬条件不符</v>
      </c>
      <c r="G49" s="5" t="str">
        <v>美国</v>
      </c>
      <c r="H49" s="5" t="str">
        <v>Seattle, WA</v>
      </c>
      <c r="I49" s="5" t="str">
        <v>2027暑期</v>
      </c>
      <c r="J49" s="5" t="str">
        <v>未公布；约3个月可行性待确认</v>
      </c>
      <c r="K49" s="5" t="str">
        <v>官方JD可读；仅作要求对照</v>
      </c>
      <c r="L49" s="10"/>
      <c r="M49" s="5" t="str">
        <v>最早接受日期</v>
      </c>
      <c r="N49" s="5" t="str">
        <v>至少接受申请至2026-09-25，不是关闭日期</v>
      </c>
      <c r="O49" s="5" t="str">
        <v>PhD在读</v>
      </c>
      <c r="P49" s="5" t="str">
        <v>必需</v>
      </c>
      <c r="Q49" s="5" t="str">
        <v>未指定毕业年份</v>
      </c>
      <c r="R49" s="5" t="str">
        <v>未单独写明</v>
      </c>
      <c r="S49" s="5" t="str">
        <v>机器人学习研究</v>
      </c>
      <c r="T49" s="5" t="str">
        <v>必须PhD在读、机器人ML研究</v>
      </c>
      <c r="U49" s="5" t="str">
        <v>高水平论文</v>
      </c>
      <c r="V49" s="5" t="str">
        <v>研究内容相近</v>
      </c>
      <c r="W49" s="5" t="str">
        <v>当前MSR学籍不满足PhD硬门槛</v>
      </c>
      <c r="X49" s="5" t="str">
        <v>正文未明确；不推断个人资格</v>
      </c>
      <c r="Y49" s="5" t="str">
        <v>具体岗位</v>
      </c>
      <c r="Z49" s="5" t="str">
        <v>JR2025647</v>
      </c>
      <c r="AA49" s="10" t="n">
        <v>46294</v>
      </c>
      <c r="AB49" s="5" t="str">
        <v>D1</v>
      </c>
      <c r="AC49" s="5" t="str">
        <v>官方正文</v>
      </c>
      <c r="AD49" s="5" t="str">
        <v>Indeed发现；公司官网核验</v>
      </c>
      <c r="AE49" s="11" t="str">
        <v>https://nvidia.wd5.myworkdayjobs.com/NVIDIAExternalCareerSite/job/US-WA-Seattle/Research-Intern--Robotics---Summer-2027_JR2025647</v>
      </c>
    </row>
    <row r="50" ht="46" customHeight="1">
      <c r="A50" s="5" t="str">
        <v>J019</v>
      </c>
      <c r="B50" s="5" t="str">
        <v>排除</v>
      </c>
      <c r="C50" s="5" t="str">
        <v>NVIDIA</v>
      </c>
      <c r="D50" s="5" t="str">
        <v>Research Intern, Physical AI Foundation Models — 2027</v>
      </c>
      <c r="E50" s="5" t="str">
        <v>D1</v>
      </c>
      <c r="F50" s="5" t="str">
        <v>C 硬条件不符</v>
      </c>
      <c r="G50" s="5" t="str">
        <v>美国</v>
      </c>
      <c r="H50" s="5" t="str">
        <v>美国</v>
      </c>
      <c r="I50" s="5" t="str">
        <v>2027，季节待确认</v>
      </c>
      <c r="J50" s="5" t="str">
        <v>未公布；约3个月可行性待确认</v>
      </c>
      <c r="K50" s="5" t="str">
        <v>官方JD索引可读；动态入口待确认</v>
      </c>
      <c r="L50" s="10"/>
      <c r="M50" s="5" t="str">
        <v>最早接受日期</v>
      </c>
      <c r="N50" s="5" t="str">
        <v>至少接受申请至2026-09-21；不作为截止</v>
      </c>
      <c r="O50" s="5" t="str">
        <v>PhD在读</v>
      </c>
      <c r="P50" s="5" t="str">
        <v>必需</v>
      </c>
      <c r="Q50" s="5" t="str">
        <v>未指定毕业年份</v>
      </c>
      <c r="R50" s="5" t="str">
        <v>未单独写明</v>
      </c>
      <c r="S50" s="5" t="str">
        <v>GEAR/Physical AI基础模型研究</v>
      </c>
      <c r="T50" s="5" t="str">
        <v>PhD在读、深度学习研究</v>
      </c>
      <c r="U50" s="5" t="str">
        <v>VLA/世界模型、论文</v>
      </c>
      <c r="V50" s="5" t="str">
        <v>Unitree+VLM方向相邻</v>
      </c>
      <c r="W50" s="5" t="str">
        <v>PhD硬门槛</v>
      </c>
      <c r="X50" s="5" t="str">
        <v>正文未明确；不推断个人资格</v>
      </c>
      <c r="Y50" s="5" t="str">
        <v>具体岗位</v>
      </c>
      <c r="Z50" s="5" t="str">
        <v>JR2025103</v>
      </c>
      <c r="AA50" s="10" t="n">
        <v>46294</v>
      </c>
      <c r="AB50" s="5" t="str">
        <v>D1</v>
      </c>
      <c r="AC50" s="5" t="str">
        <v>官方正文</v>
      </c>
      <c r="AD50" s="5" t="str">
        <v>人工检索公司官网</v>
      </c>
      <c r="AE50" s="11" t="str">
        <v>https://nvidia.wd5.myworkdayjobs.com/NVIDIAExternalCareerSite/job/US-CA-Santa-Clara/Research-Intern--Physical-AI-Foundation-Models---2027_JR2025103</v>
      </c>
    </row>
    <row r="51" ht="46" customHeight="1">
      <c r="A51" s="5" t="str">
        <v>J038</v>
      </c>
      <c r="B51" s="5" t="str">
        <v>排除</v>
      </c>
      <c r="C51" s="5" t="str">
        <v>Toyota Research Institute</v>
      </c>
      <c r="D51" s="5" t="str">
        <v>Robotics Research Intern — Post-Training (Spring 2027)</v>
      </c>
      <c r="E51" s="5" t="str">
        <v>D1</v>
      </c>
      <c r="F51" s="5" t="str">
        <v>C 硬条件不符</v>
      </c>
      <c r="G51" s="5" t="str">
        <v>美国</v>
      </c>
      <c r="H51" s="5" t="str">
        <v>Los Altos, CA</v>
      </c>
      <c r="I51" s="5" t="str">
        <v>2027春季</v>
      </c>
      <c r="J51" s="5" t="str">
        <v>12周</v>
      </c>
      <c r="K51" s="5" t="str">
        <v>开放：官网JD及申请入口</v>
      </c>
      <c r="L51" s="10"/>
      <c r="M51" s="5" t="str">
        <v>未公布</v>
      </c>
      <c r="N51" s="5" t="str">
        <v>未公布截止，不等于长期有效</v>
      </c>
      <c r="O51" s="5" t="str">
        <v>PhD在读</v>
      </c>
      <c r="P51" s="5" t="str">
        <v>必需</v>
      </c>
      <c r="Q51" s="5" t="str">
        <v>未指定毕业年份</v>
      </c>
      <c r="R51" s="5" t="str">
        <v>未单独写明</v>
      </c>
      <c r="S51" s="5" t="str">
        <v>机器人后训练、RL/IL和生成世界模型</v>
      </c>
      <c r="T51" s="5" t="str">
        <v>PhD在读、PyTorch与机器人学习</v>
      </c>
      <c r="U51" s="5" t="str">
        <v>DAgger、在线/离线RL</v>
      </c>
      <c r="V51" s="5" t="str">
        <v>VLA后训练相关</v>
      </c>
      <c r="W51" s="5" t="str">
        <v>PhD硬门槛且为春季</v>
      </c>
      <c r="X51" s="5" t="str">
        <v>正文未明确；不推断个人资格</v>
      </c>
      <c r="Y51" s="5" t="str">
        <v>具体岗位</v>
      </c>
      <c r="Z51" s="5" t="str">
        <v>186808f9-464c-4f22-9d7d-4372ef272ff0</v>
      </c>
      <c r="AA51" s="10" t="n">
        <v>46294</v>
      </c>
      <c r="AB51" s="5" t="str">
        <v>D1</v>
      </c>
      <c r="AC51" s="5" t="str">
        <v>官方正文</v>
      </c>
      <c r="AD51" s="5" t="str">
        <v>人工检索公司官网</v>
      </c>
      <c r="AE51" s="11" t="str">
        <v>https://jobs.lever.co/tri/186808f9-464c-4f22-9d7d-4372ef272ff0</v>
      </c>
    </row>
    <row r="52" ht="46" customHeight="1">
      <c r="A52" s="5" t="str">
        <v>J039</v>
      </c>
      <c r="B52" s="5" t="str">
        <v>对照</v>
      </c>
      <c r="C52" s="5" t="str">
        <v>Zoox</v>
      </c>
      <c r="D52" s="5" t="str">
        <v>Contract Student Worker — Data Mining with VLM</v>
      </c>
      <c r="E52" s="5" t="str">
        <v>D3</v>
      </c>
      <c r="F52" s="5" t="str">
        <v>C 非实习形式</v>
      </c>
      <c r="G52" s="5" t="str">
        <v>美国</v>
      </c>
      <c r="H52" s="5" t="str">
        <v>Foster City, CA</v>
      </c>
      <c r="I52" s="5" t="str">
        <v>未注明2027</v>
      </c>
      <c r="J52" s="5" t="str">
        <v>至少3个月，40h/周现场</v>
      </c>
      <c r="K52" s="5" t="str">
        <v>开放：官网JD及申请入口</v>
      </c>
      <c r="L52" s="10"/>
      <c r="M52" s="5" t="str">
        <v>未公布</v>
      </c>
      <c r="N52" s="5" t="str">
        <v>未公布截止，不等于长期有效</v>
      </c>
      <c r="O52" s="5" t="str">
        <v>BS/MS</v>
      </c>
      <c r="P52" s="5" t="str">
        <v>非必需</v>
      </c>
      <c r="Q52" s="5" t="str">
        <v>未指定毕业年份</v>
      </c>
      <c r="R52" s="5" t="str">
        <v>未单独写明</v>
      </c>
      <c r="S52" s="5" t="str">
        <v>VLM/RAG检索、数据挖掘与生产数据管道</v>
      </c>
      <c r="T52" s="5" t="str">
        <v>BS/MS；Python、PySpark/SQL</v>
      </c>
      <c r="U52" s="5" t="str">
        <v>VLM数据评估</v>
      </c>
      <c r="V52" s="5" t="str">
        <v>多模态研究与数据评测</v>
      </c>
      <c r="W52" s="5" t="str">
        <v>官方明确不是实习；供应商雇佣；SQL/PySpark未证明</v>
      </c>
      <c r="X52" s="5" t="str">
        <v>正文未明确；不推断个人资格</v>
      </c>
      <c r="Y52" s="5" t="str">
        <v>Contract Student Worker，非internship</v>
      </c>
      <c r="Z52" s="5" t="str">
        <v>7206fd97-14e4-43a0-b903-ba65dfeee53e</v>
      </c>
      <c r="AA52" s="10" t="n">
        <v>46294</v>
      </c>
      <c r="AB52" s="5" t="str">
        <v>D3</v>
      </c>
      <c r="AC52" s="5" t="str">
        <v>官方正文</v>
      </c>
      <c r="AD52" s="5" t="str">
        <v>人工检索公司官网</v>
      </c>
      <c r="AE52" s="11" t="str">
        <v>https://jobs.lever.co/zoox/7206fd97-14e4-43a0-b903-ba65dfeee53e</v>
      </c>
    </row>
    <row r="53" ht="46" customHeight="1">
      <c r="A53" s="5" t="str">
        <v>J016</v>
      </c>
      <c r="B53" s="5" t="str">
        <v>P1</v>
      </c>
      <c r="C53" s="5" t="str">
        <v>NVIDIA</v>
      </c>
      <c r="D53" s="5" t="str">
        <v>2027 Internships: Autonomous Vehicles and Robotics</v>
      </c>
      <c r="E53" s="5" t="str">
        <v>D1</v>
      </c>
      <c r="F53" s="5" t="str">
        <v>T 人才/项目池</v>
      </c>
      <c r="G53" s="5" t="str">
        <v>美国</v>
      </c>
      <c r="H53" s="5" t="str">
        <v>Santa Clara及美国多地</v>
      </c>
      <c r="I53" s="5" t="str">
        <v>2027，具体季节按团队确认</v>
      </c>
      <c r="J53" s="5" t="str">
        <v>至少12周</v>
      </c>
      <c r="K53" s="5" t="str">
        <v>官方职位页可读；团队名额另定</v>
      </c>
      <c r="L53" s="10"/>
      <c r="M53" s="5" t="str">
        <v>未公布</v>
      </c>
      <c r="N53" s="5" t="str">
        <v>未公布截止，不等于长期有效</v>
      </c>
      <c r="O53" s="5" t="str">
        <v>BS/MS/PhD或相关专业在读</v>
      </c>
      <c r="P53" s="5" t="str">
        <v>非必需</v>
      </c>
      <c r="Q53" s="5" t="str">
        <v>未指定毕业年份</v>
      </c>
      <c r="R53" s="5" t="str">
        <v>持续在读；毕业月份需提供</v>
      </c>
      <c r="S53" s="5" t="str">
        <v>自动驾驶和机器人多个技术团队匹配</v>
      </c>
      <c r="T53" s="5" t="str">
        <v>BS/MS/PhD在读、相关编程研究能力</v>
      </c>
      <c r="U53" s="5" t="str">
        <v>深度学习、机器人/自动驾驶</v>
      </c>
      <c r="V53" s="5" t="str">
        <v>Unitree部署、仿真与控制组合</v>
      </c>
      <c r="W53" s="5" t="str">
        <v>通用池，不保证具体组；要求毕业月/年</v>
      </c>
      <c r="X53" s="5" t="str">
        <v>正文未明确；不推断个人资格</v>
      </c>
      <c r="Y53" s="5" t="str">
        <v>通用实习池</v>
      </c>
      <c r="Z53" s="5" t="str">
        <v>JR2023496</v>
      </c>
      <c r="AA53" s="10" t="n">
        <v>46294</v>
      </c>
      <c r="AB53" s="5" t="str">
        <v>D1</v>
      </c>
      <c r="AC53" s="5" t="str">
        <v>官方正文</v>
      </c>
      <c r="AD53" s="5" t="str">
        <v>人工检索公司官网</v>
      </c>
      <c r="AE53" s="11" t="str">
        <v>https://nvidia.wd5.myworkdayjobs.com/NVIDIAExternalCareerSite/job/US-CA-Santa-Clara/NVIDIA-2027-Internships--Autonomous-Vehicles-and-Robotics_JR2023496</v>
      </c>
    </row>
    <row r="54" ht="46" customHeight="1">
      <c r="A54" s="5" t="str">
        <v>J056</v>
      </c>
      <c r="B54" s="5" t="str">
        <v>P2</v>
      </c>
      <c r="C54" s="5" t="str">
        <v>Apple</v>
      </c>
      <c r="D54" s="5" t="str">
        <v>Applied Data Solutions Program, Internships — Summer 2027</v>
      </c>
      <c r="E54" s="5" t="str">
        <v>D3</v>
      </c>
      <c r="F54" s="5" t="str">
        <v>T 人才/项目池</v>
      </c>
      <c r="G54" s="5" t="str">
        <v>美国</v>
      </c>
      <c r="H54" s="5" t="str">
        <v>Cupertino及美国项目地点</v>
      </c>
      <c r="I54" s="5" t="str">
        <v>2027暑期</v>
      </c>
      <c r="J54" s="5" t="str">
        <v>未公布；约3个月可行性待确认</v>
      </c>
      <c r="K54" s="5" t="str">
        <v>官方项目JD可读；团队匹配另定</v>
      </c>
      <c r="L54" s="10"/>
      <c r="M54" s="5" t="str">
        <v>未公布</v>
      </c>
      <c r="N54" s="5" t="str">
        <v>未公布截止，不等于长期有效</v>
      </c>
      <c r="O54" s="5" t="str">
        <v>本科/研究生</v>
      </c>
      <c r="P54" s="5" t="str">
        <v>非必需</v>
      </c>
      <c r="Q54" s="5" t="str">
        <v>未指定毕业年份</v>
      </c>
      <c r="R54" s="5" t="str">
        <v>未单独写明</v>
      </c>
      <c r="S54" s="5" t="str">
        <v>多团队数据/ML/SWE/生成AI工程，生产数据管道与模型</v>
      </c>
      <c r="T54" s="5" t="str">
        <v>本科/研究生相关专业；Python等、DS/ML与软件生命周期</v>
      </c>
      <c r="U54" s="5" t="str">
        <v>SQL/Spark、PyTorch、LLM</v>
      </c>
      <c r="V54" s="5" t="str">
        <v>PyTorch、VLM研究与数据评测</v>
      </c>
      <c r="W54" s="5" t="str">
        <v>不是专门机器人组；SQL/Spark和生产数据系统待补</v>
      </c>
      <c r="X54" s="5" t="str">
        <v>正文未明确；不推断个人资格</v>
      </c>
      <c r="Y54" s="5" t="str">
        <v>多团队项目</v>
      </c>
      <c r="Z54" s="5" t="str">
        <v>200673612-0836</v>
      </c>
      <c r="AA54" s="10" t="n">
        <v>46294</v>
      </c>
      <c r="AB54" s="5" t="str">
        <v>D3</v>
      </c>
      <c r="AC54" s="5" t="str">
        <v>官方正文</v>
      </c>
      <c r="AD54" s="5" t="str">
        <v>人工检索公司官网</v>
      </c>
      <c r="AE54" s="11" t="str">
        <v>https://jobs.apple.com/tr-tr/details/200673612-0836/applied-data-solutions-program-internships-summer-2027?team=STDNT</v>
      </c>
    </row>
    <row r="55" ht="46" customHeight="1">
      <c r="A55" s="5" t="str">
        <v>J057</v>
      </c>
      <c r="B55" s="5" t="str">
        <v>P2</v>
      </c>
      <c r="C55" s="5" t="str">
        <v>Apple</v>
      </c>
      <c r="D55" s="5" t="str">
        <v>Machine Learning and Artificial Intelligence Masters Internships</v>
      </c>
      <c r="E55" s="5" t="str">
        <v>D3</v>
      </c>
      <c r="F55" s="5" t="str">
        <v>T 人才/项目池</v>
      </c>
      <c r="G55" s="5" t="str">
        <v>美国</v>
      </c>
      <c r="H55" s="5" t="str">
        <v>美国多地</v>
      </c>
      <c r="I55" s="5" t="str">
        <v>未注明2027/暑期</v>
      </c>
      <c r="J55" s="5" t="str">
        <v>未公布；约3个月可行性待确认</v>
      </c>
      <c r="K55" s="5" t="str">
        <v>开放：官方项目正文及持续接收意向</v>
      </c>
      <c r="L55" s="10"/>
      <c r="M55" s="5" t="str">
        <v>持续接收</v>
      </c>
      <c r="N55" s="5" t="str">
        <v>官方写明ongoing；仅表达未来岗位兴趣</v>
      </c>
      <c r="O55" s="5" t="str">
        <v>MS</v>
      </c>
      <c r="P55" s="5" t="str">
        <v>非必需</v>
      </c>
      <c r="Q55" s="5" t="str">
        <v>未指定毕业年份</v>
      </c>
      <c r="R55" s="5" t="str">
        <v>返校或实习为最后毕业要求</v>
      </c>
      <c r="S55" s="5" t="str">
        <v>AIML硕士实习意向入口；官方明确不是具体空缺职位</v>
      </c>
      <c r="T55" s="5" t="str">
        <v>相关MS在读；实习后返校或实习为最后毕业要求</v>
      </c>
      <c r="U55" s="5" t="str">
        <v>Python等面向对象编程、PyTorch/TF、数学统计、ML项目</v>
      </c>
      <c r="V55" s="5" t="str">
        <v>VLM、视频和机器人研究</v>
      </c>
      <c r="W55" s="5" t="str">
        <v>未注明2027暑期；通用池非具体团队</v>
      </c>
      <c r="X55" s="5" t="str">
        <v>正文未明确；不推断个人资格</v>
      </c>
      <c r="Y55" s="5" t="str">
        <v>通用硕士实习意向池</v>
      </c>
      <c r="Z55" s="5" t="str">
        <v>200664221-3810</v>
      </c>
      <c r="AA55" s="10" t="n">
        <v>46294</v>
      </c>
      <c r="AB55" s="5" t="str">
        <v>D3</v>
      </c>
      <c r="AC55" s="5" t="str">
        <v>官方正文</v>
      </c>
      <c r="AD55" s="5" t="str">
        <v>人工检索公司官网</v>
      </c>
      <c r="AE55" s="11" t="str">
        <v>https://jobs.apple.com/en-il/details/200664221-3810/machine-learning-and-artificial-intelligence-masters-internships?team=STDNT</v>
      </c>
    </row>
    <row r="56" ht="46" customHeight="1">
      <c r="A56" s="5" t="str">
        <v>J041</v>
      </c>
      <c r="B56" s="5" t="str">
        <v>P2</v>
      </c>
      <c r="C56" s="5" t="str">
        <v>Apptronik</v>
      </c>
      <c r="D56" s="5" t="str">
        <v>IROS 2026 — Robotics &amp; AI Talent Pool</v>
      </c>
      <c r="E56" s="5" t="str">
        <v>D1</v>
      </c>
      <c r="F56" s="5" t="str">
        <v>T 人才/项目池</v>
      </c>
      <c r="G56" s="5" t="str">
        <v>美国</v>
      </c>
      <c r="H56" s="5" t="str">
        <v>Austin, TX / Sunnyvale, CA</v>
      </c>
      <c r="I56" s="5" t="str">
        <v>2027暑期</v>
      </c>
      <c r="J56" s="5" t="str">
        <v>未公布；约3个月可行性待确认</v>
      </c>
      <c r="K56" s="5" t="str">
        <v>开放：官网JD及申请入口</v>
      </c>
      <c r="L56" s="10"/>
      <c r="M56" s="5" t="str">
        <v>未公布</v>
      </c>
      <c r="N56" s="5" t="str">
        <v>未公布截止，不等于长期有效</v>
      </c>
      <c r="O56" s="5" t="str">
        <v>MS/PhD</v>
      </c>
      <c r="P56" s="5" t="str">
        <v>非必需</v>
      </c>
      <c r="Q56" s="5" t="str">
        <v>未指定毕业年份</v>
      </c>
      <c r="R56" s="5" t="str">
        <v>未单独写明</v>
      </c>
      <c r="S56" s="5" t="str">
        <v>IROS人才池包含Summer 2027 internship及其他级别机会</v>
      </c>
      <c r="T56" s="5" t="str">
        <v>MS/PhD及多级别人才；需后续匹配</v>
      </c>
      <c r="U56" s="5" t="str">
        <v>人形机器人、学习与控制</v>
      </c>
      <c r="V56" s="5" t="str">
        <v>Unitree/Dexmate/CMU组合</v>
      </c>
      <c r="W56" s="5" t="str">
        <v>人才池不是已分配团队岗位</v>
      </c>
      <c r="X56" s="5" t="str">
        <v>正文未明确；不推断个人资格</v>
      </c>
      <c r="Y56" s="5" t="str">
        <v>会议人才池</v>
      </c>
      <c r="Z56" s="5" t="str">
        <v>6206626004</v>
      </c>
      <c r="AA56" s="10" t="n">
        <v>46294</v>
      </c>
      <c r="AB56" s="5" t="str">
        <v>D1</v>
      </c>
      <c r="AC56" s="5" t="str">
        <v>官方正文</v>
      </c>
      <c r="AD56" s="5" t="str">
        <v>人工检索公司官网</v>
      </c>
      <c r="AE56" s="11" t="str">
        <v>https://job-boards.greenhouse.io/apptronik/jobs/6206626004</v>
      </c>
    </row>
    <row r="57" ht="46" customHeight="1">
      <c r="A57" s="5" t="str">
        <v>J048</v>
      </c>
      <c r="B57" s="5" t="str">
        <v>P2</v>
      </c>
      <c r="C57" s="5" t="str">
        <v>ByteDance Seed</v>
      </c>
      <c r="D57" s="5" t="str">
        <v>Seed 2027基础模型研究实习项目</v>
      </c>
      <c r="E57" s="5" t="str">
        <v>D1</v>
      </c>
      <c r="F57" s="5" t="str">
        <v>T 人才/项目池</v>
      </c>
      <c r="G57" s="5" t="str">
        <v>中国</v>
      </c>
      <c r="H57" s="5" t="str">
        <v>中国多地</v>
      </c>
      <c r="I57" s="5" t="str">
        <v>2027项目/日常实习；夏季未定</v>
      </c>
      <c r="J57" s="5" t="str">
        <v>未公布；约3个月可行性待确认</v>
      </c>
      <c r="K57" s="5" t="str">
        <v>官方项目公告可读</v>
      </c>
      <c r="L57" s="10"/>
      <c r="M57" s="5" t="str">
        <v>未公布</v>
      </c>
      <c r="N57" s="5" t="str">
        <v>未公布截止，不等于长期有效</v>
      </c>
      <c r="O57" s="5" t="str">
        <v>项目公告未逐岗限定</v>
      </c>
      <c r="P57" s="5" t="str">
        <v>非必需</v>
      </c>
      <c r="Q57" s="5" t="str">
        <v>实习：2027-09及以后毕业</v>
      </c>
      <c r="R57" s="5" t="str">
        <v>未单独写明</v>
      </c>
      <c r="S57" s="5" t="str">
        <v>基础模型研究项目，覆盖具身/视觉/ML系统；非具体组JD</v>
      </c>
      <c r="T57" s="5" t="str">
        <v>实习面向2027-09及以后毕业学生</v>
      </c>
      <c r="U57" s="5" t="str">
        <v>相关领域研究</v>
      </c>
      <c r="V57" s="5" t="str">
        <v>2028毕业满足项目年份窗口；机器人+VLM</v>
      </c>
      <c r="W57" s="5" t="str">
        <v>项目池非具体职位；不能套用ByteIntern 2027届规则</v>
      </c>
      <c r="X57" s="5" t="str">
        <v>正文未明确；不推断个人资格</v>
      </c>
      <c r="Y57" s="5" t="str">
        <v>研究项目池</v>
      </c>
      <c r="Z57" s="5" t="str">
        <v>Seed-2027-program</v>
      </c>
      <c r="AA57" s="10" t="n">
        <v>46294</v>
      </c>
      <c r="AB57" s="5" t="str">
        <v>D1</v>
      </c>
      <c r="AC57" s="5" t="str">
        <v>官方正文</v>
      </c>
      <c r="AD57" s="5" t="str">
        <v>人工检索公司官网</v>
      </c>
      <c r="AE57" s="11" t="str">
        <v>https://seed.bytedance.com/zh/blog/bytedance-seed-2027-foundation-model-campus-recruitment-is-now-open-internships-included</v>
      </c>
    </row>
    <row r="58" ht="46" customHeight="1">
      <c r="A58" s="5" t="str">
        <v>J015</v>
      </c>
      <c r="B58" s="5" t="str">
        <v>P2</v>
      </c>
      <c r="C58" s="5" t="str">
        <v>Google</v>
      </c>
      <c r="D58" s="5" t="str">
        <v>Student Researcher, BS/MS, Winter/Summer 2027</v>
      </c>
      <c r="E58" s="5" t="str">
        <v>D3</v>
      </c>
      <c r="F58" s="5" t="str">
        <v>T 人才/项目池</v>
      </c>
      <c r="G58" s="5" t="str">
        <v>美国</v>
      </c>
      <c r="H58" s="5" t="str">
        <v>美国多地</v>
      </c>
      <c r="I58" s="5" t="str">
        <v>2027冬/夏</v>
      </c>
      <c r="J58" s="5" t="str">
        <v>未公布；约3个月可行性待确认</v>
      </c>
      <c r="K58" s="5" t="str">
        <v>开放：官网JD及申请入口</v>
      </c>
      <c r="L58" s="10" t="n">
        <v>46584</v>
      </c>
      <c r="M58" s="5" t="str">
        <v>预计申请窗口</v>
      </c>
      <c r="N58" s="5" t="str">
        <v>预计接受至2027-07-16，可提前结束；滚动审阅</v>
      </c>
      <c r="O58" s="5" t="str">
        <v>BS/MS</v>
      </c>
      <c r="P58" s="5" t="str">
        <v>非必需</v>
      </c>
      <c r="Q58" s="5" t="str">
        <v>未指定毕业年份</v>
      </c>
      <c r="R58" s="5" t="str">
        <v>未单独写明</v>
      </c>
      <c r="S58" s="5" t="str">
        <v>研究项目匹配，覆盖ML/CV/机器人等；并非专属机器人组</v>
      </c>
      <c r="T58" s="5" t="str">
        <v>BS/MS在读、相关研究与编程</v>
      </c>
      <c r="U58" s="5" t="str">
        <v>研究论文、具体领域专长</v>
      </c>
      <c r="V58" s="5" t="str">
        <v>MSR+VLM/机器人研究</v>
      </c>
      <c r="W58" s="5" t="str">
        <v>大多数项目优先PhD；需团队匹配与毕业月份</v>
      </c>
      <c r="X58" s="5" t="str">
        <v>正文未明确；不推断个人资格</v>
      </c>
      <c r="Y58" s="5" t="str">
        <v>项目匹配池</v>
      </c>
      <c r="Z58" s="5" t="str">
        <v>131518356678156998</v>
      </c>
      <c r="AA58" s="10" t="n">
        <v>46294</v>
      </c>
      <c r="AB58" s="5" t="str">
        <v>D3</v>
      </c>
      <c r="AC58" s="5" t="str">
        <v>官方正文</v>
      </c>
      <c r="AD58" s="5" t="str">
        <v>人工检索公司官网</v>
      </c>
      <c r="AE58" s="11" t="str">
        <v>https://www.google.com/about/careers/applications/jobs/results/131518356678156998-student-researcher-bsms-wintersummer-2027</v>
      </c>
    </row>
    <row r="59" ht="46" customHeight="1">
      <c r="A59" s="5" t="str">
        <v>J020</v>
      </c>
      <c r="B59" s="5" t="str">
        <v>P1</v>
      </c>
      <c r="C59" s="5" t="str">
        <v>Amazon</v>
      </c>
      <c r="D59" s="5" t="str">
        <v>Software Development Engineer Intern/Co-Op, ROBOTICS — 2027</v>
      </c>
      <c r="E59" s="5" t="str">
        <v>D5</v>
      </c>
      <c r="F59" s="5" t="str">
        <v>T 多团队招聘轨道</v>
      </c>
      <c r="G59" s="5" t="str">
        <v>美国</v>
      </c>
      <c r="H59" s="5" t="str">
        <v>North Reading/Westborough, MA及其他美国地点</v>
      </c>
      <c r="I59" s="5" t="str">
        <v>2027夏实习或春/秋Co-op</v>
      </c>
      <c r="J59" s="5" t="str">
        <v>未公布；夏季或春秋Co-op</v>
      </c>
      <c r="K59" s="5" t="str">
        <v>开放：官网JD及申请入口</v>
      </c>
      <c r="L59" s="10"/>
      <c r="M59" s="5" t="str">
        <v>未公布</v>
      </c>
      <c r="N59" s="5" t="str">
        <v>未公布截止，不等于长期有效</v>
      </c>
      <c r="O59" s="5" t="str">
        <v>BS/MS或以上</v>
      </c>
      <c r="P59" s="5" t="str">
        <v>非必需</v>
      </c>
      <c r="Q59" s="5" t="str">
        <v>未指定毕业年份</v>
      </c>
      <c r="R59" s="5" t="str">
        <v>至少一学期（SDE/HDE）；工业岗美国在读</v>
      </c>
      <c r="S59" s="5" t="str">
        <v>机器人软件、分布式服务、生产测试与维护</v>
      </c>
      <c r="T59" s="5" t="str">
        <v>本科以上STEM在读；编程、数据结构与算法</v>
      </c>
      <c r="U59" s="5" t="str">
        <v>既有实习、机器人相关项目</v>
      </c>
      <c r="V59" s="5" t="str">
        <v>ROS2、跨平台部署与日志评测</v>
      </c>
      <c r="W59" s="5" t="str">
        <v>AWS/数据库/生产服务经验不足</v>
      </c>
      <c r="X59" s="5" t="str">
        <v>正文未明确；不推断个人资格</v>
      </c>
      <c r="Y59" s="5" t="str">
        <v>多团队招聘轨道</v>
      </c>
      <c r="Z59" s="5" t="str">
        <v>10529525</v>
      </c>
      <c r="AA59" s="10" t="n">
        <v>46294</v>
      </c>
      <c r="AB59" s="5" t="str">
        <v>D5</v>
      </c>
      <c r="AC59" s="5" t="str">
        <v>官方正文</v>
      </c>
      <c r="AD59" s="5" t="str">
        <v>人工检索公司官网</v>
      </c>
      <c r="AE59" s="11" t="str">
        <v>https://www.amazon.jobs/en/jobs/10529525/software-development-engineer-intern-co-op-robotics-2027</v>
      </c>
    </row>
    <row r="60" ht="46" customHeight="1">
      <c r="A60" s="5" t="str">
        <v>J021</v>
      </c>
      <c r="B60" s="5" t="str">
        <v>P2</v>
      </c>
      <c r="C60" s="5" t="str">
        <v>Amazon</v>
      </c>
      <c r="D60" s="5" t="str">
        <v>Hardware Development Engineer Intern/Co-Op, ROBOTICS — 2027</v>
      </c>
      <c r="E60" s="5" t="str">
        <v>D5</v>
      </c>
      <c r="F60" s="5" t="str">
        <v>T 多团队招聘轨道</v>
      </c>
      <c r="G60" s="5" t="str">
        <v>美国</v>
      </c>
      <c r="H60" s="5" t="str">
        <v>North Reading/Westborough, MA及其他美国地点</v>
      </c>
      <c r="I60" s="5" t="str">
        <v>2027夏实习或春/秋Co-op</v>
      </c>
      <c r="J60" s="5" t="str">
        <v>3-6+个月；可选约3个月但不保证</v>
      </c>
      <c r="K60" s="5" t="str">
        <v>开放：官网JD及申请入口</v>
      </c>
      <c r="L60" s="10"/>
      <c r="M60" s="5" t="str">
        <v>未公布</v>
      </c>
      <c r="N60" s="5" t="str">
        <v>未公布截止，不等于长期有效</v>
      </c>
      <c r="O60" s="5" t="str">
        <v>BS/MS或以上</v>
      </c>
      <c r="P60" s="5" t="str">
        <v>非必需</v>
      </c>
      <c r="Q60" s="5" t="str">
        <v>未指定毕业年份</v>
      </c>
      <c r="R60" s="5" t="str">
        <v>至少一学期（SDE/HDE）；工业岗美国在读</v>
      </c>
      <c r="S60" s="5" t="str">
        <v>硬件原型、测试、可靠性与工程文档</v>
      </c>
      <c r="T60" s="5" t="str">
        <v>BS/MS以上；CAD、硬件设计开发与测试</v>
      </c>
      <c r="U60" s="5" t="str">
        <v>既有实习、机器人相关项目</v>
      </c>
      <c r="V60" s="5" t="str">
        <v>ASV传感器集成、CAD和真机测试</v>
      </c>
      <c r="W60" s="5" t="str">
        <v>硬件可靠性/量产经验不足</v>
      </c>
      <c r="X60" s="5" t="str">
        <v>正文未明确；不推断个人资格</v>
      </c>
      <c r="Y60" s="5" t="str">
        <v>多团队招聘轨道</v>
      </c>
      <c r="Z60" s="5" t="str">
        <v>10535282</v>
      </c>
      <c r="AA60" s="10" t="n">
        <v>46294</v>
      </c>
      <c r="AB60" s="5" t="str">
        <v>D5</v>
      </c>
      <c r="AC60" s="5" t="str">
        <v>官方正文</v>
      </c>
      <c r="AD60" s="5" t="str">
        <v>人工检索公司官网</v>
      </c>
      <c r="AE60" s="11" t="str">
        <v>https://www.amazon.jobs/en/jobs/10535282/hardware-development-engineer-intern-co-op-robotics-2027</v>
      </c>
    </row>
    <row r="61" ht="46" customHeight="1">
      <c r="A61" s="5" t="str">
        <v>J022</v>
      </c>
      <c r="B61" s="5" t="str">
        <v>P2</v>
      </c>
      <c r="C61" s="5" t="str">
        <v>Amazon</v>
      </c>
      <c r="D61" s="5" t="str">
        <v>Industrial Development Engineer Intern/Co-Op, ROBOTICS — 2027</v>
      </c>
      <c r="E61" s="5" t="str">
        <v>D5</v>
      </c>
      <c r="F61" s="5" t="str">
        <v>T 多团队招聘轨道</v>
      </c>
      <c r="G61" s="5" t="str">
        <v>美国</v>
      </c>
      <c r="H61" s="5" t="str">
        <v>North Reading/Westborough, MA及其他美国地点</v>
      </c>
      <c r="I61" s="5" t="str">
        <v>2027夏实习或春/秋Co-op</v>
      </c>
      <c r="J61" s="5" t="str">
        <v>未公布</v>
      </c>
      <c r="K61" s="5" t="str">
        <v>开放：官网JD及申请入口</v>
      </c>
      <c r="L61" s="10"/>
      <c r="M61" s="5" t="str">
        <v>未公布</v>
      </c>
      <c r="N61" s="5" t="str">
        <v>未公布截止，不等于长期有效</v>
      </c>
      <c r="O61" s="5" t="str">
        <v>BS/MS或以上</v>
      </c>
      <c r="P61" s="5" t="str">
        <v>非必需</v>
      </c>
      <c r="Q61" s="5" t="str">
        <v>未指定毕业年份</v>
      </c>
      <c r="R61" s="5" t="str">
        <v>至少一学期（SDE/HDE）；工业岗美国在读</v>
      </c>
      <c r="S61" s="5" t="str">
        <v>制造流程、布局与机器人设施优化</v>
      </c>
      <c r="T61" s="5" t="str">
        <v>工程本科以上；美国校区在读；CAD</v>
      </c>
      <c r="U61" s="5" t="str">
        <v>既有实习、机器人相关项目</v>
      </c>
      <c r="V61" s="5" t="str">
        <v>机械/电气背景与CAD</v>
      </c>
      <c r="W61" s="5" t="str">
        <v>工业流程方向，距机器人学习研究较远</v>
      </c>
      <c r="X61" s="5" t="str">
        <v>正文未明确；不推断个人资格</v>
      </c>
      <c r="Y61" s="5" t="str">
        <v>多团队招聘轨道</v>
      </c>
      <c r="Z61" s="5" t="str">
        <v>10536817</v>
      </c>
      <c r="AA61" s="10" t="n">
        <v>46294</v>
      </c>
      <c r="AB61" s="5" t="str">
        <v>D5</v>
      </c>
      <c r="AC61" s="5" t="str">
        <v>官方正文</v>
      </c>
      <c r="AD61" s="5" t="str">
        <v>人工检索公司官网</v>
      </c>
      <c r="AE61" s="11" t="str">
        <v>https://www.amazon.jobs/en/jobs/10536817/industrial-development-engineer-intern-co-op-robotics-2027</v>
      </c>
    </row>
  </sheetData>
  <conditionalFormatting sqref="F5:F61">
    <cfRule type="beginsWith" dxfId="0" priority="1" operator="beginsWith" text="B"/>
    <cfRule type="beginsWith" dxfId="1" priority="2" operator="beginsWith" text="C"/>
    <cfRule type="beginsWith" dxfId="2" priority="3" operator="beginsWith" text="T"/>
  </conditionalFormatting>
  <hyperlinks>
    <hyperlink ref="AE5" r:id="rIdHyperlink1"/>
    <hyperlink ref="AE6" r:id="rIdHyperlink2"/>
    <hyperlink ref="AE7" r:id="rIdHyperlink3"/>
    <hyperlink ref="AE8" r:id="rIdHyperlink4"/>
    <hyperlink ref="AE9" r:id="rIdHyperlink5"/>
    <hyperlink ref="AE10" r:id="rIdHyperlink6"/>
    <hyperlink ref="AE11" r:id="rIdHyperlink7"/>
    <hyperlink ref="AE12" r:id="rIdHyperlink8"/>
    <hyperlink ref="AE13" r:id="rIdHyperlink9"/>
    <hyperlink ref="AE14" r:id="rIdHyperlink10"/>
    <hyperlink ref="AE15" r:id="rIdHyperlink11"/>
    <hyperlink ref="AE16" r:id="rIdHyperlink12"/>
    <hyperlink ref="AE17" r:id="rIdHyperlink13"/>
    <hyperlink ref="AE18" r:id="rIdHyperlink14"/>
    <hyperlink ref="AE19" r:id="rIdHyperlink15"/>
    <hyperlink ref="AE20" r:id="rIdHyperlink16"/>
    <hyperlink ref="AE21" r:id="rIdHyperlink17"/>
    <hyperlink ref="AE22" r:id="rIdHyperlink18"/>
    <hyperlink ref="AE23" r:id="rIdHyperlink19"/>
    <hyperlink ref="AE24" r:id="rIdHyperlink20"/>
    <hyperlink ref="AE25" r:id="rIdHyperlink21"/>
    <hyperlink ref="AE26" r:id="rIdHyperlink22"/>
    <hyperlink ref="AE27" r:id="rIdHyperlink23"/>
    <hyperlink ref="AE28" r:id="rIdHyperlink24"/>
    <hyperlink ref="AE29" r:id="rIdHyperlink25"/>
    <hyperlink ref="AE30" r:id="rIdHyperlink26"/>
    <hyperlink ref="AE31" r:id="rIdHyperlink27"/>
    <hyperlink ref="AE32" r:id="rIdHyperlink28"/>
    <hyperlink ref="AE33" r:id="rIdHyperlink29"/>
    <hyperlink ref="AE34" r:id="rIdHyperlink30"/>
    <hyperlink ref="AE35" r:id="rIdHyperlink31"/>
    <hyperlink ref="AE36" r:id="rIdHyperlink32"/>
    <hyperlink ref="AE37" r:id="rIdHyperlink33"/>
    <hyperlink ref="AE38" r:id="rIdHyperlink34"/>
    <hyperlink ref="AE39" r:id="rIdHyperlink35"/>
    <hyperlink ref="AE40" r:id="rIdHyperlink36"/>
    <hyperlink ref="AE41" r:id="rIdHyperlink37"/>
    <hyperlink ref="AE42" r:id="rIdHyperlink38"/>
    <hyperlink ref="AE43" r:id="rIdHyperlink39"/>
    <hyperlink ref="AE44" r:id="rIdHyperlink40"/>
    <hyperlink ref="AE45" r:id="rIdHyperlink41"/>
    <hyperlink ref="AE46" r:id="rIdHyperlink42"/>
    <hyperlink ref="AE47" r:id="rIdHyperlink43"/>
    <hyperlink ref="AE48" r:id="rIdHyperlink44"/>
    <hyperlink ref="AE49" r:id="rIdHyperlink45"/>
    <hyperlink ref="AE50" r:id="rIdHyperlink46"/>
    <hyperlink ref="AE51" r:id="rIdHyperlink47"/>
    <hyperlink ref="AE52" r:id="rIdHyperlink48"/>
    <hyperlink ref="AE53" r:id="rIdHyperlink49"/>
    <hyperlink ref="AE54" r:id="rIdHyperlink50"/>
    <hyperlink ref="AE55" r:id="rIdHyperlink51"/>
    <hyperlink ref="AE56" r:id="rIdHyperlink52"/>
    <hyperlink ref="AE57" r:id="rIdHyperlink53"/>
    <hyperlink ref="AE58" r:id="rIdHyperlink54"/>
    <hyperlink ref="AE59" r:id="rIdHyperlink55"/>
    <hyperlink ref="AE60" r:id="rIdHyperlink56"/>
    <hyperlink ref="AE61" r:id="rIdHyperlink57"/>
  </hyperlinks>
  <pageMargins left="0.7" right="0.7" top="0.75" bottom="0.75" header="0.3" footer="0.3"/>
  <tableParts count="1">
    <tablePart r:id="R713b84e664b343b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67B8B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4" hidden="0" customWidth="1"/>
    <col min="2" max="2" width="15" hidden="0" customWidth="1"/>
    <col min="3" max="3" width="70" hidden="0" customWidth="1"/>
    <col min="4" max="4" width="20" hidden="0" customWidth="1"/>
    <col min="5" max="5" width="80" hidden="0" customWidth="1"/>
    <col min="6" max="6" width="50" hidden="0" customWidth="1"/>
    <col min="7" max="7" width="15" hidden="0" customWidth="1"/>
    <col min="8" max="8" width="95" hidden="0" customWidth="1"/>
  </cols>
  <sheetData>
    <row r="1" ht="23" customHeight="1">
      <c r="A1" s="1" t="str">
        <v>公司观察 · 46家公司</v>
      </c>
    </row>
    <row r="2" ht="23" customHeight="1">
      <c r="A2" s="2" t="str">
        <v>检索范围与入口审计；“未确认”不等于未开放。公司主页和历史职位不计入可申请岗位数。</v>
      </c>
    </row>
    <row r="3" ht="23" customHeight="1"/>
    <row r="4" ht="34" customHeight="1">
      <c r="A4" s="9" t="str">
        <v>公司</v>
      </c>
      <c r="B4" s="9" t="str">
        <v>地区</v>
      </c>
      <c r="C4" s="9" t="str">
        <v>本次核验结论</v>
      </c>
      <c r="D4" s="9" t="str">
        <v>方向</v>
      </c>
      <c r="E4" s="9" t="str">
        <v>限制与下一检查点</v>
      </c>
      <c r="F4" s="9" t="str">
        <v>核验层级</v>
      </c>
      <c r="G4" s="9" t="str">
        <v>核验日期</v>
      </c>
      <c r="H4" s="9" t="str">
        <v>官方入口/线索</v>
      </c>
    </row>
    <row r="5" ht="46" customHeight="1">
      <c r="A5" s="5" t="str">
        <v>Waymo</v>
      </c>
      <c r="B5" s="5" t="str">
        <v>美国</v>
      </c>
      <c r="C5" s="5" t="str">
        <v>多项2027暑期MS岗位</v>
      </c>
      <c r="D5" s="5" t="str">
        <v>D3/D4/D5</v>
      </c>
      <c r="E5" s="5" t="str">
        <v>已有逐岗记录；每人最多3岗建议</v>
      </c>
      <c r="F5" s="5" t="str">
        <v>官网入口/官方索引；详见结论</v>
      </c>
      <c r="G5" s="10" t="n">
        <v>46294</v>
      </c>
      <c r="H5" s="11" t="str">
        <v>https://careers.withwaymo.com/jobs/search</v>
      </c>
    </row>
    <row r="6" ht="46" customHeight="1">
      <c r="A6" s="5" t="str">
        <v>NVIDIA</v>
      </c>
      <c r="B6" s="5" t="str">
        <v>美国/中国</v>
      </c>
      <c r="C6" s="5" t="str">
        <v>通用2027实习池、中国DevTech及PhD岗位</v>
      </c>
      <c r="D6" s="5" t="str">
        <v>D1/D3</v>
      </c>
      <c r="E6" s="5" t="str">
        <v>严格区分人才池与PhD研究岗</v>
      </c>
      <c r="F6" s="5" t="str">
        <v>官网入口/官方索引；详见结论</v>
      </c>
      <c r="G6" s="10" t="n">
        <v>46294</v>
      </c>
      <c r="H6" s="11" t="str">
        <v>https://www.nvidia.com/en-us/about-nvidia/careers/</v>
      </c>
    </row>
    <row r="7" ht="46" customHeight="1">
      <c r="A7" s="5" t="str">
        <v>Google</v>
      </c>
      <c r="B7" s="5" t="str">
        <v>美国</v>
      </c>
      <c r="C7" s="5" t="str">
        <v>BS/MS Winter/Summer2027项目池</v>
      </c>
      <c r="D7" s="5" t="str">
        <v>D3</v>
      </c>
      <c r="E7" s="5" t="str">
        <v>项目匹配，不保证机器人组</v>
      </c>
      <c r="F7" s="5" t="str">
        <v>官网入口/官方索引；详见结论</v>
      </c>
      <c r="G7" s="10" t="n">
        <v>46294</v>
      </c>
      <c r="H7" s="11" t="str">
        <v>https://www.google.com/about/careers/applications/jobs/results/131518356678156998-student-researcher-bsms-wintersummer-2027</v>
      </c>
    </row>
    <row r="8" ht="46" customHeight="1">
      <c r="A8" s="5" t="str">
        <v>Amazon</v>
      </c>
      <c r="B8" s="5" t="str">
        <v>美国</v>
      </c>
      <c r="C8" s="5" t="str">
        <v>2027 Robotics多团队轨道</v>
      </c>
      <c r="D8" s="5" t="str">
        <v>D4/D5</v>
      </c>
      <c r="E8" s="5" t="str">
        <v>具体团队和3个月安排offer时确定</v>
      </c>
      <c r="F8" s="5" t="str">
        <v>官网入口/官方索引；详见结论</v>
      </c>
      <c r="G8" s="10" t="n">
        <v>46294</v>
      </c>
      <c r="H8" s="11" t="str">
        <v>https://www.amazon.jobs/en/teams/amazon-robotics</v>
      </c>
    </row>
    <row r="9" ht="46" customHeight="1">
      <c r="A9" s="5" t="str">
        <v>Bedrock Robotics</v>
      </c>
      <c r="B9" s="5" t="str">
        <v>美国</v>
      </c>
      <c r="C9" s="5" t="str">
        <v>11项实习在实时列表；另1旧评测JD已撤下</v>
      </c>
      <c r="D9" s="5" t="str">
        <v>D1/D2/D3/D5</v>
      </c>
      <c r="E9" s="5" t="str">
        <v>除Fleet明确summer外，其余暑期/时长需确认；安全岗实质要求Lean</v>
      </c>
      <c r="F9" s="5" t="str">
        <v>官网入口/官方索引；详见结论</v>
      </c>
      <c r="G9" s="10" t="n">
        <v>46294</v>
      </c>
      <c r="H9" s="11" t="str">
        <v>https://jobs.ashbyhq.com/bedrock-robotics/</v>
      </c>
    </row>
    <row r="10" ht="46" customHeight="1">
      <c r="A10" s="5" t="str">
        <v>Johnson &amp; Johnson</v>
      </c>
      <c r="B10" s="5" t="str">
        <v>美国</v>
      </c>
      <c r="C10" s="5" t="str">
        <v>3项2027暑期Robotics R&amp;D</v>
      </c>
      <c r="D10" s="5" t="str">
        <v>D2/D5</v>
      </c>
      <c r="E10" s="5" t="str">
        <v>预计2026-10-17关闭，可延长</v>
      </c>
      <c r="F10" s="5" t="str">
        <v>官网入口/官方索引；详见结论</v>
      </c>
      <c r="G10" s="10" t="n">
        <v>46294</v>
      </c>
      <c r="H10" s="11" t="str">
        <v>https://www.careers.jnj.com/en/early-career-programs/internships/</v>
      </c>
    </row>
    <row r="11" ht="46" customHeight="1">
      <c r="A11" s="5" t="str">
        <v>Corning</v>
      </c>
      <c r="B11" s="5" t="str">
        <v>美国</v>
      </c>
      <c r="C11" s="5" t="str">
        <v>4项2027暑期视觉/控制岗位</v>
      </c>
      <c r="D11" s="5" t="str">
        <v>D2/D3/D5</v>
      </c>
      <c r="E11" s="5" t="str">
        <v>工业应用方向，需看PLC/赞助条件</v>
      </c>
      <c r="F11" s="5" t="str">
        <v>官网入口/官方索引；详见结论</v>
      </c>
      <c r="G11" s="10" t="n">
        <v>46294</v>
      </c>
      <c r="H11" s="11" t="str">
        <v>https://corningjobs.corning.com/go/Internships/7688500/</v>
      </c>
    </row>
    <row r="12" ht="46" customHeight="1">
      <c r="A12" s="5" t="str">
        <v>Neuralink</v>
      </c>
      <c r="B12" s="5" t="str">
        <v>美国</v>
      </c>
      <c r="C12" s="5" t="str">
        <v>机器人SWE实习，季节未注明</v>
      </c>
      <c r="D12" s="5" t="str">
        <v>D4/D5</v>
      </c>
      <c r="E12" s="5" t="str">
        <v>需核对Summer2027和时长</v>
      </c>
      <c r="F12" s="5" t="str">
        <v>官网入口/官方索引；详见结论</v>
      </c>
      <c r="G12" s="10" t="n">
        <v>46294</v>
      </c>
      <c r="H12" s="11" t="str">
        <v>https://job-boards.greenhouse.io/neuralink/jobs/5469305003</v>
      </c>
    </row>
    <row r="13" ht="46" customHeight="1">
      <c r="A13" s="5" t="str">
        <v>Toyota Research Institute</v>
      </c>
      <c r="B13" s="5" t="str">
        <v>美国</v>
      </c>
      <c r="C13" s="5" t="str">
        <v>机器人后训练Spring2027 PhD岗</v>
      </c>
      <c r="D13" s="5" t="str">
        <v>D1</v>
      </c>
      <c r="E13" s="5" t="str">
        <v>未找到匹配MS+Summer2027的具体研究岗</v>
      </c>
      <c r="F13" s="5" t="str">
        <v>官网入口/官方索引；详见结论</v>
      </c>
      <c r="G13" s="10" t="n">
        <v>46294</v>
      </c>
      <c r="H13" s="11" t="str">
        <v>https://jobs.lever.co/tri</v>
      </c>
    </row>
    <row r="14" ht="46" customHeight="1">
      <c r="A14" s="5" t="str">
        <v>Zoox</v>
      </c>
      <c r="B14" s="5" t="str">
        <v>美国</v>
      </c>
      <c r="C14" s="5" t="str">
        <v>VLM Contract Student Worker</v>
      </c>
      <c r="D14" s="5" t="str">
        <v>D3</v>
      </c>
      <c r="E14" s="5" t="str">
        <v>明确不是结构化internship</v>
      </c>
      <c r="F14" s="5" t="str">
        <v>官网入口/官方索引；详见结论</v>
      </c>
      <c r="G14" s="10" t="n">
        <v>46294</v>
      </c>
      <c r="H14" s="11" t="str">
        <v>https://jobs.lever.co/zoox</v>
      </c>
    </row>
    <row r="15" ht="46" customHeight="1">
      <c r="A15" s="5" t="str">
        <v>Apptronik</v>
      </c>
      <c r="B15" s="5" t="str">
        <v>美国</v>
      </c>
      <c r="C15" s="5" t="str">
        <v>IROS人才池含Summer2027 MS/PhD</v>
      </c>
      <c r="D15" s="5" t="str">
        <v>D1/D2</v>
      </c>
      <c r="E15" s="5" t="str">
        <v>人才池，不计具体岗位</v>
      </c>
      <c r="F15" s="5" t="str">
        <v>官网入口/官方索引；详见结论</v>
      </c>
      <c r="G15" s="10" t="n">
        <v>46294</v>
      </c>
      <c r="H15" s="11" t="str">
        <v>https://job-boards.greenhouse.io/apptronik/jobs/6206626004</v>
      </c>
    </row>
    <row r="16" ht="46" customHeight="1">
      <c r="A16" s="5" t="str">
        <v>Physical Intelligence</v>
      </c>
      <c r="B16" s="5" t="str">
        <v>美国</v>
      </c>
      <c r="C16" s="5" t="str">
        <v>Research Internships入口开放，JD极简</v>
      </c>
      <c r="D16" s="5" t="str">
        <v>D1</v>
      </c>
      <c r="E16" s="5" t="str">
        <v>浏览器核验；未公开学位季节职责</v>
      </c>
      <c r="F16" s="5" t="str">
        <v>官网入口/官方索引；详见结论</v>
      </c>
      <c r="G16" s="10" t="n">
        <v>46294</v>
      </c>
      <c r="H16" s="11" t="str">
        <v>https://jobs.ashbyhq.com/physicalintelligence/f020ff1a-4b4c-4415-8434-2da5010a7076</v>
      </c>
    </row>
    <row r="17" ht="46" customHeight="1">
      <c r="A17" s="5" t="str">
        <v>Boston Dynamics</v>
      </c>
      <c r="B17" s="5" t="str">
        <v>美国</v>
      </c>
      <c r="C17" s="5" t="str">
        <v>有10-12周实习制度；未核到2027具体JD</v>
      </c>
      <c r="D17" s="5" t="str">
        <v>D2/D5</v>
      </c>
      <c r="E17" s="5" t="str">
        <v>官方招募时段说明不保证2027开放日</v>
      </c>
      <c r="F17" s="5" t="str">
        <v>官网入口/官方索引；详见结论</v>
      </c>
      <c r="G17" s="10" t="n">
        <v>46294</v>
      </c>
      <c r="H17" s="11" t="str">
        <v>https://bostondynamics.com/careers/</v>
      </c>
    </row>
    <row r="18" ht="46" customHeight="1">
      <c r="A18" s="5" t="str">
        <v>Figure</v>
      </c>
      <c r="B18" s="5" t="str">
        <v>美国</v>
      </c>
      <c r="C18" s="5" t="str">
        <v>Fall2026 Special Projects Intern</v>
      </c>
      <c r="D18" s="5" t="str">
        <v>D1/D5</v>
      </c>
      <c r="E18" s="5" t="str">
        <v>保留为未来Summer同类岗位观察</v>
      </c>
      <c r="F18" s="5" t="str">
        <v>官网入口/官方索引；详见结论</v>
      </c>
      <c r="G18" s="10" t="n">
        <v>46294</v>
      </c>
      <c r="H18" s="11" t="str">
        <v>https://job-boards.greenhouse.io/figureai</v>
      </c>
    </row>
    <row r="19" ht="46" customHeight="1">
      <c r="A19" s="5" t="str">
        <v>Agility Robotics</v>
      </c>
      <c r="B19" s="5" t="str">
        <v>美国</v>
      </c>
      <c r="C19" s="5" t="str">
        <v>未核到2027暑期MS具体岗位</v>
      </c>
      <c r="D19" s="5" t="str">
        <v>D1/D2</v>
      </c>
      <c r="E19" s="5" t="str">
        <v>官网检索范围有限；不等于没有岗位</v>
      </c>
      <c r="F19" s="5" t="str">
        <v>官网入口/官方索引；详见结论</v>
      </c>
      <c r="G19" s="10" t="n">
        <v>46294</v>
      </c>
      <c r="H19" s="11" t="str">
        <v>https://www.agilityrobotics.com/careers</v>
      </c>
    </row>
    <row r="20" ht="46" customHeight="1">
      <c r="A20" s="5" t="str">
        <v>Intrinsic</v>
      </c>
      <c r="B20" s="5" t="str">
        <v>美国</v>
      </c>
      <c r="C20" s="5" t="str">
        <v>实习项目说明；未核到2027 JD</v>
      </c>
      <c r="D20" s="5" t="str">
        <v>D1/D5</v>
      </c>
      <c r="E20" s="5" t="str">
        <v>继续关注年初学生岗位</v>
      </c>
      <c r="F20" s="5" t="str">
        <v>官网入口/官方索引；详见结论</v>
      </c>
      <c r="G20" s="10" t="n">
        <v>46294</v>
      </c>
      <c r="H20" s="11" t="str">
        <v>https://www.intrinsic.ai/careers</v>
      </c>
    </row>
    <row r="21" ht="46" customHeight="1">
      <c r="A21" s="5" t="str">
        <v>1X</v>
      </c>
      <c r="B21" s="5" t="str">
        <v>美国</v>
      </c>
      <c r="C21" s="5" t="str">
        <v>AI Residency及其他职位；未确认2027实习</v>
      </c>
      <c r="D21" s="5" t="str">
        <v>D1</v>
      </c>
      <c r="E21" s="5" t="str">
        <v>Residency不可直接视为三个月暑期实习</v>
      </c>
      <c r="F21" s="5" t="str">
        <v>官网入口/官方索引；详见结论</v>
      </c>
      <c r="G21" s="10" t="n">
        <v>46294</v>
      </c>
      <c r="H21" s="11" t="str">
        <v>https://www.1x.tech/careers</v>
      </c>
    </row>
    <row r="22" ht="46" customHeight="1">
      <c r="A22" s="5" t="str">
        <v>Skild AI</v>
      </c>
      <c r="B22" s="5" t="str">
        <v>美国</v>
      </c>
      <c r="C22" s="5" t="str">
        <v>动态招聘页；未确认2027实习JD</v>
      </c>
      <c r="D22" s="5" t="str">
        <v>D1</v>
      </c>
      <c r="E22" s="5" t="str">
        <v>页面获取受限，保留观察</v>
      </c>
      <c r="F22" s="5" t="str">
        <v>官网入口/官方索引；详见结论</v>
      </c>
      <c r="G22" s="10" t="n">
        <v>46294</v>
      </c>
      <c r="H22" s="11" t="str">
        <v>https://www.skild.ai/career</v>
      </c>
    </row>
    <row r="23" ht="46" customHeight="1">
      <c r="A23" s="5" t="str">
        <v>Tesla</v>
      </c>
      <c r="B23" s="5" t="str">
        <v>美国</v>
      </c>
      <c r="C23" s="5" t="str">
        <v>Optimus Winter/Spring2027岗位</v>
      </c>
      <c r="D23" s="5" t="str">
        <v>D1/D2</v>
      </c>
      <c r="E23" s="5" t="str">
        <v>不是已确认Summer2027</v>
      </c>
      <c r="F23" s="5" t="str">
        <v>官网入口/官方索引；详见结论</v>
      </c>
      <c r="G23" s="10" t="n">
        <v>46294</v>
      </c>
      <c r="H23" s="11" t="str">
        <v>https://www.tesla.com/careers/search/?query=bot</v>
      </c>
    </row>
    <row r="24" ht="46" customHeight="1">
      <c r="A24" s="5" t="str">
        <v>Apple</v>
      </c>
      <c r="B24" s="5" t="str">
        <v>美国</v>
      </c>
      <c r="C24" s="5" t="str">
        <v>ADSP Summer2027项目池及AIML Masters通用入口</v>
      </c>
      <c r="D24" s="5" t="str">
        <v>D3</v>
      </c>
      <c r="E24" s="5" t="str">
        <v>团队/季节分别确认，不把通用MS池当2027具体岗位</v>
      </c>
      <c r="F24" s="5" t="str">
        <v>官网入口/官方索引；详见结论</v>
      </c>
      <c r="G24" s="10" t="n">
        <v>46294</v>
      </c>
      <c r="H24" s="11" t="str">
        <v>https://jobs.apple.com/en-us/search?team=Internships-STDNT-INTRN</v>
      </c>
    </row>
    <row r="25" ht="46" customHeight="1">
      <c r="A25" s="5" t="str">
        <v>Meta</v>
      </c>
      <c r="B25" s="5" t="str">
        <v>美国</v>
      </c>
      <c r="C25" s="5" t="str">
        <v>未核到合适2027暑期MS研究JD</v>
      </c>
      <c r="D25" s="5" t="str">
        <v>D3</v>
      </c>
      <c r="E25" s="5" t="str">
        <v>访问/索引有限；不宣称未开放</v>
      </c>
      <c r="F25" s="5" t="str">
        <v>官网入口/官方索引；详见结论</v>
      </c>
      <c r="G25" s="10" t="n">
        <v>46294</v>
      </c>
      <c r="H25" s="11" t="str">
        <v>https://www.metacareers.com/jobs</v>
      </c>
    </row>
    <row r="26" ht="46" customHeight="1">
      <c r="A26" s="5" t="str">
        <v>Microsoft</v>
      </c>
      <c r="B26" s="5" t="str">
        <v>美国</v>
      </c>
      <c r="C26" s="5" t="str">
        <v>PhD项目说明；未确认对应MS2027岗</v>
      </c>
      <c r="D26" s="5" t="str">
        <v>D3</v>
      </c>
      <c r="E26" s="5" t="str">
        <v>不要把PhD项目套用MS</v>
      </c>
      <c r="F26" s="5" t="str">
        <v>官网入口/官方索引；详见结论</v>
      </c>
      <c r="G26" s="10" t="n">
        <v>46294</v>
      </c>
      <c r="H26" s="11" t="str">
        <v>https://careers.microsoft.com/v2/global/en/phdinternship</v>
      </c>
    </row>
    <row r="27" ht="46" customHeight="1">
      <c r="A27" s="5" t="str">
        <v>Qualcomm</v>
      </c>
      <c r="B27" s="5" t="str">
        <v>美国</v>
      </c>
      <c r="C27" s="5" t="str">
        <v>Summer2027 PhD兴趣池发现</v>
      </c>
      <c r="D27" s="5" t="str">
        <v>D3</v>
      </c>
      <c r="E27" s="5" t="str">
        <v>博士池不计MS岗位</v>
      </c>
      <c r="F27" s="5" t="str">
        <v>官网入口/官方索引；详见结论</v>
      </c>
      <c r="G27" s="10" t="n">
        <v>46294</v>
      </c>
      <c r="H27" s="11" t="str">
        <v>https://careers.qualcomm.com/</v>
      </c>
    </row>
    <row r="28" ht="46" customHeight="1">
      <c r="A28" s="5" t="str">
        <v>AMD</v>
      </c>
      <c r="B28" s="5" t="str">
        <v>美国</v>
      </c>
      <c r="C28" s="5" t="str">
        <v>Summer2027 PhD ML Systems Research</v>
      </c>
      <c r="D28" s="5" t="str">
        <v>D3</v>
      </c>
      <c r="E28" s="5" t="str">
        <v>已记录为PhD硬门槛对照</v>
      </c>
      <c r="F28" s="5" t="str">
        <v>官网入口/官方索引；详见结论</v>
      </c>
      <c r="G28" s="10" t="n">
        <v>46294</v>
      </c>
      <c r="H28" s="11" t="str">
        <v>https://careers.amd.com/students/jobs/90993?lang=en-us</v>
      </c>
    </row>
    <row r="29" ht="46" customHeight="1">
      <c r="A29" s="5" t="str">
        <v>Intel</v>
      </c>
      <c r="B29" s="5" t="str">
        <v>美国</v>
      </c>
      <c r="C29" s="5" t="str">
        <v>未核到对应2027暑期MS具体JD</v>
      </c>
      <c r="D29" s="5" t="str">
        <v>D3/D5</v>
      </c>
      <c r="E29" s="5" t="str">
        <v>动态入口限制；不等于无岗位</v>
      </c>
      <c r="F29" s="5" t="str">
        <v>官网入口/官方索引；详见结论</v>
      </c>
      <c r="G29" s="10" t="n">
        <v>46294</v>
      </c>
      <c r="H29" s="11" t="str">
        <v>https://jobs.intel.com/</v>
      </c>
    </row>
    <row r="30" ht="46" customHeight="1">
      <c r="A30" s="5" t="str">
        <v>Adobe</v>
      </c>
      <c r="B30" s="5" t="str">
        <v>美国</v>
      </c>
      <c r="C30" s="5" t="str">
        <v>学生入口；检索见2027全职研究岗位</v>
      </c>
      <c r="D30" s="5" t="str">
        <v>D3</v>
      </c>
      <c r="E30" s="5" t="str">
        <v>全职毕业窗口不能当2027暑期</v>
      </c>
      <c r="F30" s="5" t="str">
        <v>官网入口/官方索引；详见结论</v>
      </c>
      <c r="G30" s="10" t="n">
        <v>46294</v>
      </c>
      <c r="H30" s="11" t="str">
        <v>https://careers.adobe.com/us/en/student</v>
      </c>
    </row>
    <row r="31" ht="46" customHeight="1">
      <c r="A31" s="5" t="str">
        <v>Bosch</v>
      </c>
      <c r="B31" s="5" t="str">
        <v>美国</v>
      </c>
      <c r="C31" s="5" t="str">
        <v>机器人/VLA研究方向存在；未确认2027 JD</v>
      </c>
      <c r="D31" s="5" t="str">
        <v>D1/D4</v>
      </c>
      <c r="E31" s="5" t="str">
        <v>研究团队页面不是在招证明</v>
      </c>
      <c r="F31" s="5" t="str">
        <v>官网入口/官方索引；详见结论</v>
      </c>
      <c r="G31" s="10" t="n">
        <v>46294</v>
      </c>
      <c r="H31" s="11" t="str">
        <v>https://www.bosch.com/careers/</v>
      </c>
    </row>
    <row r="32" ht="46" customHeight="1">
      <c r="A32" s="5" t="str">
        <v>ByteDance Seed</v>
      </c>
      <c r="B32" s="5" t="str">
        <v>中国</v>
      </c>
      <c r="C32" s="5" t="str">
        <v>2027研究实习项目；2028毕业可进入公告窗口</v>
      </c>
      <c r="D32" s="5" t="str">
        <v>D1/D3</v>
      </c>
      <c r="E32" s="5" t="str">
        <v>ByteIntern2027届与Seed日常实习应分开</v>
      </c>
      <c r="F32" s="5" t="str">
        <v>官网入口/官方索引；详见结论</v>
      </c>
      <c r="G32" s="10" t="n">
        <v>46294</v>
      </c>
      <c r="H32" s="11" t="str">
        <v>https://seed.bytedance.com/zh/seedearlycareer</v>
      </c>
    </row>
    <row r="33" ht="46" customHeight="1">
      <c r="A33" s="5" t="str">
        <v>Alibaba</v>
      </c>
      <c r="B33" s="5" t="str">
        <v>中国</v>
      </c>
      <c r="C33" s="5" t="str">
        <v>具身仿真日常实习具体JD</v>
      </c>
      <c r="D33" s="5" t="str">
        <v>D1</v>
      </c>
      <c r="E33" s="5" t="str">
        <v>2028毕业在窗口内；时长/档期待核</v>
      </c>
      <c r="F33" s="5" t="str">
        <v>官网入口/官方索引；详见结论</v>
      </c>
      <c r="G33" s="10" t="n">
        <v>46294</v>
      </c>
      <c r="H33" s="11" t="str">
        <v>https://campus-talent.alibaba.com/</v>
      </c>
    </row>
    <row r="34" ht="46" customHeight="1">
      <c r="A34" s="5" t="str">
        <v>Baidu</v>
      </c>
      <c r="B34" s="5" t="str">
        <v>中国</v>
      </c>
      <c r="C34" s="5" t="str">
        <v>多项日常算法实习</v>
      </c>
      <c r="D34" s="5" t="str">
        <v>D3</v>
      </c>
      <c r="E34" s="5" t="str">
        <v>常见4/6月要求与约3个月冲突</v>
      </c>
      <c r="F34" s="5" t="str">
        <v>官网入口/官方索引；详见结论</v>
      </c>
      <c r="G34" s="10" t="n">
        <v>46294</v>
      </c>
      <c r="H34" s="11" t="str">
        <v>https://talent.baidu.com/</v>
      </c>
    </row>
    <row r="35" ht="46" customHeight="1">
      <c r="A35" s="5" t="str">
        <v>Tencent</v>
      </c>
      <c r="B35" s="5" t="str">
        <v>中国</v>
      </c>
      <c r="C35" s="5" t="str">
        <v>实习筛选入口可见，未核到对应2027具体岗</v>
      </c>
      <c r="D35" s="5" t="str">
        <v>D1/D3</v>
      </c>
      <c r="E35" s="5" t="str">
        <v>旧Robotics X报道不作为当前岗位</v>
      </c>
      <c r="F35" s="5" t="str">
        <v>官网入口/官方索引；详见结论</v>
      </c>
      <c r="G35" s="10" t="n">
        <v>46294</v>
      </c>
      <c r="H35" s="11" t="str">
        <v>https://careers.tencent.com/zh-cn/search.html?pcid=40005</v>
      </c>
    </row>
    <row r="36" ht="46" customHeight="1">
      <c r="A36" s="5" t="str">
        <v>Huawei</v>
      </c>
      <c r="B36" s="5" t="str">
        <v>中国</v>
      </c>
      <c r="C36" s="5" t="str">
        <v>2027届全职校招页面</v>
      </c>
      <c r="D36" s="5" t="str">
        <v>D3</v>
      </c>
      <c r="E36" s="5" t="str">
        <v>2028毕业与2027届不同；实习需单独核实</v>
      </c>
      <c r="F36" s="5" t="str">
        <v>官网入口/官方索引；详见结论</v>
      </c>
      <c r="G36" s="10" t="n">
        <v>46294</v>
      </c>
      <c r="H36" s="11" t="str">
        <v>https://career.huawei.com/cn/campus-recruitment</v>
      </c>
    </row>
    <row r="37" ht="46" customHeight="1">
      <c r="A37" s="5" t="str">
        <v>Meituan</v>
      </c>
      <c r="B37" s="5" t="str">
        <v>中国</v>
      </c>
      <c r="C37" s="5" t="str">
        <v>实时日常实习列表：具身智能数据管线开发、Agent算法等</v>
      </c>
      <c r="D37" s="5" t="str">
        <v>D1/D4</v>
      </c>
      <c r="E37" s="5" t="str">
        <v>列表可读；详情跳转未完成，学位/最短时长未核，未计确认岗位</v>
      </c>
      <c r="F37" s="5" t="str">
        <v>浏览器实时列表（2026-09-29）</v>
      </c>
      <c r="G37" s="10" t="n">
        <v>46294</v>
      </c>
      <c r="H37" s="11" t="str">
        <v>https://hr.meituan.com/web/campus?hiringType=4_6</v>
      </c>
    </row>
    <row r="38" ht="46" customHeight="1">
      <c r="A38" s="5" t="str">
        <v>Xiaomi</v>
      </c>
      <c r="B38" s="5" t="str">
        <v>中国</v>
      </c>
      <c r="C38" s="5" t="str">
        <v>实习筛选入口；未确认具体2027岗</v>
      </c>
      <c r="D38" s="5" t="str">
        <v>D1</v>
      </c>
      <c r="E38" s="5" t="str">
        <v>动态列表限制</v>
      </c>
      <c r="F38" s="5" t="str">
        <v>官网入口/官方索引；详见结论</v>
      </c>
      <c r="G38" s="10" t="n">
        <v>46294</v>
      </c>
      <c r="H38" s="11" t="str">
        <v>https://hr.xiaomi.com/website/opportunities.html</v>
      </c>
    </row>
    <row r="39" ht="46" customHeight="1">
      <c r="A39" s="5" t="str">
        <v>JD.com</v>
      </c>
      <c r="B39" s="5" t="str">
        <v>中国</v>
      </c>
      <c r="C39" s="5" t="str">
        <v>校招入口；未确认相关2027暑期JD</v>
      </c>
      <c r="D39" s="5" t="str">
        <v>D1/D5</v>
      </c>
      <c r="E39" s="5" t="str">
        <v>动态/访问限制，保留观察</v>
      </c>
      <c r="F39" s="5" t="str">
        <v>官网入口/官方索引；详见结论</v>
      </c>
      <c r="G39" s="10" t="n">
        <v>46294</v>
      </c>
      <c r="H39" s="11" t="str">
        <v>https://zhaopin.jd.com/</v>
      </c>
    </row>
    <row r="40" ht="46" customHeight="1">
      <c r="A40" s="5" t="str">
        <v>Unitree</v>
      </c>
      <c r="B40" s="5" t="str">
        <v>中国</v>
      </c>
      <c r="C40" s="5" t="str">
        <v>机器人/VLA/控制技术招聘列表</v>
      </c>
      <c r="D40" s="5" t="str">
        <v>D1/D2</v>
      </c>
      <c r="E40" s="5" t="str">
        <v>未把全职岗位当实习；现有经历Present需更新</v>
      </c>
      <c r="F40" s="5" t="str">
        <v>官网入口/官方索引；详见结论</v>
      </c>
      <c r="G40" s="10" t="n">
        <v>46294</v>
      </c>
      <c r="H40" s="11" t="str">
        <v>https://www.unitree.com/position/</v>
      </c>
    </row>
    <row r="41" ht="46" customHeight="1">
      <c r="A41" s="5" t="str">
        <v>Agibot</v>
      </c>
      <c r="B41" s="5" t="str">
        <v>中国</v>
      </c>
      <c r="C41" s="5" t="str">
        <v>招聘入口，未确认2027具体实习JD</v>
      </c>
      <c r="D41" s="5" t="str">
        <v>D1/D2</v>
      </c>
      <c r="E41" s="5" t="str">
        <v>需具体团队/实习条件</v>
      </c>
      <c r="F41" s="5" t="str">
        <v>官网入口/官方索引；详见结论</v>
      </c>
      <c r="G41" s="10" t="n">
        <v>46294</v>
      </c>
      <c r="H41" s="11" t="str">
        <v>https://www.agibot.com/recruitment/%2A.htm</v>
      </c>
    </row>
    <row r="42" ht="46" customHeight="1">
      <c r="A42" s="5" t="str">
        <v>Galbot</v>
      </c>
      <c r="B42" s="5" t="str">
        <v>中国</v>
      </c>
      <c r="C42" s="5" t="str">
        <v>公司/联系入口；未取得可核验实习JD</v>
      </c>
      <c r="D42" s="5" t="str">
        <v>D1</v>
      </c>
      <c r="E42" s="5" t="str">
        <v>公司网页不等于在招</v>
      </c>
      <c r="F42" s="5" t="str">
        <v>官网入口/官方索引；详见结论</v>
      </c>
      <c r="G42" s="10" t="n">
        <v>46294</v>
      </c>
      <c r="H42" s="11" t="str">
        <v>https://galbot.com/about/</v>
      </c>
    </row>
    <row r="43" ht="46" customHeight="1">
      <c r="A43" s="5" t="str">
        <v>LimX Dynamics</v>
      </c>
      <c r="B43" s="5" t="str">
        <v>中国</v>
      </c>
      <c r="C43" s="5" t="str">
        <v>实习历史线索；当前所查URL返回404</v>
      </c>
      <c r="D43" s="5" t="str">
        <v>D1/D2</v>
      </c>
      <c r="E43" s="5" t="str">
        <v>需从官方招聘入口重新定位；未计岗位清单</v>
      </c>
      <c r="F43" s="5" t="str">
        <v>官网入口/官方索引；详见结论</v>
      </c>
      <c r="G43" s="10" t="n">
        <v>46294</v>
      </c>
      <c r="H43" s="11" t="str">
        <v>https://career.limxdynamics.com/index/m/position/7687534113214318884/detail</v>
      </c>
    </row>
    <row r="44" ht="46" customHeight="1">
      <c r="A44" s="5" t="str">
        <v>Pony.ai</v>
      </c>
      <c r="B44" s="5" t="str">
        <v>中国</v>
      </c>
      <c r="C44" s="5" t="str">
        <v>2027届全职及实习分流说明</v>
      </c>
      <c r="D44" s="5" t="str">
        <v>D4</v>
      </c>
      <c r="E44" s="5" t="str">
        <v>2027年8月后毕业学生走实习；具体组待核</v>
      </c>
      <c r="F44" s="5" t="str">
        <v>官网入口/官方索引；详见结论</v>
      </c>
      <c r="G44" s="10" t="n">
        <v>46294</v>
      </c>
      <c r="H44" s="11" t="str">
        <v>https://campus.pony.ai/</v>
      </c>
    </row>
    <row r="45" ht="46" customHeight="1">
      <c r="A45" s="5" t="str">
        <v>WeRide</v>
      </c>
      <c r="B45" s="5" t="str">
        <v>中国</v>
      </c>
      <c r="C45" s="5" t="str">
        <v>2027秋招公告及职位入口</v>
      </c>
      <c r="D45" s="5" t="str">
        <v>D4</v>
      </c>
      <c r="E45" s="5" t="str">
        <v>秋招不能等同Summer2027</v>
      </c>
      <c r="F45" s="5" t="str">
        <v>官网入口/官方索引；详见结论</v>
      </c>
      <c r="G45" s="10" t="n">
        <v>46294</v>
      </c>
      <c r="H45" s="11" t="str">
        <v>https://www.weride.ai/zh/careers</v>
      </c>
    </row>
    <row r="46" ht="46" customHeight="1">
      <c r="A46" s="5" t="str">
        <v>DeepRoute.ai</v>
      </c>
      <c r="B46" s="5" t="str">
        <v>中国</v>
      </c>
      <c r="C46" s="5" t="str">
        <v>公司入口动态；未确认实习JD</v>
      </c>
      <c r="D46" s="5" t="str">
        <v>D4</v>
      </c>
      <c r="E46" s="5" t="str">
        <v>访问受限，不判定未开放</v>
      </c>
      <c r="F46" s="5" t="str">
        <v>官网入口/官方索引；详见结论</v>
      </c>
      <c r="G46" s="10" t="n">
        <v>46294</v>
      </c>
      <c r="H46" s="11" t="str">
        <v>https://deeproute.ai/</v>
      </c>
    </row>
    <row r="47" ht="46" customHeight="1">
      <c r="A47" s="5" t="str">
        <v>DJI</v>
      </c>
      <c r="B47" s="5" t="str">
        <v>中国</v>
      </c>
      <c r="C47" s="5" t="str">
        <v>校园招聘入口；未核到2027暑期具体岗</v>
      </c>
      <c r="D47" s="5" t="str">
        <v>D4</v>
      </c>
      <c r="E47" s="5" t="str">
        <v>历史2026招聘不混入</v>
      </c>
      <c r="F47" s="5" t="str">
        <v>官网入口/官方索引；详见结论</v>
      </c>
      <c r="G47" s="10" t="n">
        <v>46294</v>
      </c>
      <c r="H47" s="11" t="str">
        <v>https://we.dji.com/zh-CN/</v>
      </c>
    </row>
    <row r="48" ht="46" customHeight="1">
      <c r="A48" s="5" t="str">
        <v>XPeng</v>
      </c>
      <c r="B48" s="5" t="str">
        <v>中国</v>
      </c>
      <c r="C48" s="5" t="str">
        <v>社招/校招入口</v>
      </c>
      <c r="D48" s="5" t="str">
        <v>D1/D4</v>
      </c>
      <c r="E48" s="5" t="str">
        <v>未确认三个月2027暑期JD</v>
      </c>
      <c r="F48" s="5" t="str">
        <v>官网入口/官方索引；详见结论</v>
      </c>
      <c r="G48" s="10" t="n">
        <v>46294</v>
      </c>
      <c r="H48" s="11" t="str">
        <v>https://www.xiaopeng.com/join.html</v>
      </c>
    </row>
    <row r="49" ht="46" customHeight="1">
      <c r="A49" s="5" t="str">
        <v>Li Auto</v>
      </c>
      <c r="B49" s="5" t="str">
        <v>中国</v>
      </c>
      <c r="C49" s="5" t="str">
        <v>仅取得公司入口；具体实习未核验</v>
      </c>
      <c r="D49" s="5" t="str">
        <v>D1/D4</v>
      </c>
      <c r="E49" s="5" t="str">
        <v>低验证深度，列观察不计岗位</v>
      </c>
      <c r="F49" s="5" t="str">
        <v>官网入口/官方索引；详见结论</v>
      </c>
      <c r="G49" s="10" t="n">
        <v>46294</v>
      </c>
      <c r="H49" s="11" t="str">
        <v>https://www.lixiang.com/</v>
      </c>
    </row>
    <row r="50" ht="46" customHeight="1">
      <c r="A50" s="5" t="str">
        <v>Midea</v>
      </c>
      <c r="B50" s="5" t="str">
        <v>美国/中国</v>
      </c>
      <c r="C50" s="5" t="str">
        <v>UM邮箱发现Summer2027 Co-op；官网未定位同一JD</v>
      </c>
      <c r="D50" s="5" t="str">
        <v>D2/D5</v>
      </c>
      <c r="E50" s="5" t="str">
        <v>邮件为发现线索；具体岗位/时长仍待核</v>
      </c>
      <c r="F50" s="5" t="str">
        <v>官网入口/官方索引；详见结论</v>
      </c>
      <c r="G50" s="10" t="n">
        <v>46294</v>
      </c>
      <c r="H50" s="11" t="str">
        <v>https://careers.midea.com/</v>
      </c>
    </row>
  </sheetData>
  <hyperlinks>
    <hyperlink ref="H5" r:id="rIdHyperlink1"/>
    <hyperlink ref="H6" r:id="rIdHyperlink2"/>
    <hyperlink ref="H7" r:id="rIdHyperlink3"/>
    <hyperlink ref="H8" r:id="rIdHyperlink4"/>
    <hyperlink ref="H9" r:id="rIdHyperlink5"/>
    <hyperlink ref="H10" r:id="rIdHyperlink6"/>
    <hyperlink ref="H11" r:id="rIdHyperlink7"/>
    <hyperlink ref="H12" r:id="rIdHyperlink8"/>
    <hyperlink ref="H13" r:id="rIdHyperlink9"/>
    <hyperlink ref="H14" r:id="rIdHyperlink10"/>
    <hyperlink ref="H15" r:id="rIdHyperlink11"/>
    <hyperlink ref="H16" r:id="rIdHyperlink12"/>
    <hyperlink ref="H17" r:id="rIdHyperlink13"/>
    <hyperlink ref="H18" r:id="rIdHyperlink14"/>
    <hyperlink ref="H19" r:id="rIdHyperlink15"/>
    <hyperlink ref="H20" r:id="rIdHyperlink16"/>
    <hyperlink ref="H21" r:id="rIdHyperlink17"/>
    <hyperlink ref="H22" r:id="rIdHyperlink18"/>
    <hyperlink ref="H23" r:id="rIdHyperlink19"/>
    <hyperlink ref="H24" r:id="rIdHyperlink20"/>
    <hyperlink ref="H25" r:id="rIdHyperlink21"/>
    <hyperlink ref="H26" r:id="rIdHyperlink22"/>
    <hyperlink ref="H27" r:id="rIdHyperlink23"/>
    <hyperlink ref="H28" r:id="rIdHyperlink24"/>
    <hyperlink ref="H29" r:id="rIdHyperlink25"/>
    <hyperlink ref="H30" r:id="rIdHyperlink26"/>
    <hyperlink ref="H31" r:id="rIdHyperlink27"/>
    <hyperlink ref="H32" r:id="rIdHyperlink28"/>
    <hyperlink ref="H33" r:id="rIdHyperlink29"/>
    <hyperlink ref="H34" r:id="rIdHyperlink30"/>
    <hyperlink ref="H35" r:id="rIdHyperlink31"/>
    <hyperlink ref="H36" r:id="rIdHyperlink32"/>
    <hyperlink ref="H37" r:id="rIdHyperlink33"/>
    <hyperlink ref="H38" r:id="rIdHyperlink34"/>
    <hyperlink ref="H39" r:id="rIdHyperlink35"/>
    <hyperlink ref="H40" r:id="rIdHyperlink36"/>
    <hyperlink ref="H41" r:id="rIdHyperlink37"/>
    <hyperlink ref="H42" r:id="rIdHyperlink38"/>
    <hyperlink ref="H43" r:id="rIdHyperlink39"/>
    <hyperlink ref="H44" r:id="rIdHyperlink40"/>
    <hyperlink ref="H45" r:id="rIdHyperlink41"/>
    <hyperlink ref="H46" r:id="rIdHyperlink42"/>
    <hyperlink ref="H47" r:id="rIdHyperlink43"/>
    <hyperlink ref="H48" r:id="rIdHyperlink44"/>
    <hyperlink ref="H49" r:id="rIdHyperlink45"/>
    <hyperlink ref="H50" r:id="rIdHyperlink46"/>
  </hyperlinks>
  <pageMargins left="0.7" right="0.7" top="0.75" bottom="0.75" header="0.3" footer="0.3"/>
  <tableParts count="1">
    <tablePart r:id="R014eff377b0f4a51"/>
  </tableParts>
</worksheet>
</file>

<file path=xl/worksheets/sheet3.xml><?xml version="1.0" encoding="utf-8"?>
<x:worksheet xmlns:x="http://schemas.openxmlformats.org/spreadsheetml/2006/main">
  <x:sheetPr>
    <x:tabColor rgb="FF7D738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42" hidden="0" customWidth="1"/>
    <x:col min="3" max="3" width="35" hidden="0" customWidth="1"/>
    <x:col min="4" max="4" width="65" hidden="0" customWidth="1"/>
    <x:col min="5" max="5" width="75" hidden="0" customWidth="1"/>
    <x:col min="6" max="6" width="68" hidden="0" customWidth="1"/>
    <x:col min="7" max="7" width="70" hidden="0" customWidth="1"/>
    <x:col min="8" max="8" width="75" hidden="0" customWidth="1"/>
  </x:cols>
  <x:sheetData>
    <x:row r="1" ht="23" customHeight="1">
      <x:c r="A1" s="1" t="str">
        <x:v>方向与简历对应</x:v>
      </x:c>
    </x:row>
    <x:row r="2" ht="23" customHeight="1">
      <x:c r="A2" s="2" t="str">
        <x:v>D1–D3为主要方向；D4/D5为相邻强方向。只用已有事实改写，不把JD关键词补写成经历。</x:v>
      </x:c>
    </x:row>
    <x:row r="3" ht="23" customHeight="1"/>
    <x:row r="4" ht="34" customHeight="1">
      <x:c r="A4" s="9" t="str">
        <x:v>版本</x:v>
      </x:c>
      <x:c r="B4" s="9" t="str">
        <x:v>方向</x:v>
      </x:c>
      <x:c r="C4" s="9" t="str">
        <x:v>定位</x:v>
      </x:c>
      <x:c r="D4" s="9" t="str">
        <x:v>简历重点</x:v>
      </x:c>
      <x:c r="E4" s="9" t="str">
        <x:v>现有证据</x:v>
      </x:c>
      <x:c r="F4" s="9" t="str">
        <x:v>代表JD</x:v>
      </x:c>
      <x:c r="G4" s="9" t="str">
        <x:v>主要缺口</x:v>
      </x:c>
      <x:c r="H4" s="9" t="str">
        <x:v>可编辑LaTeX路径（相对工作区）</x:v>
      </x:c>
    </x:row>
    <x:row r="5" ht="50" customHeight="1">
      <x:c r="A5" s="5" t="str">
        <x:v>D1</x:v>
      </x:c>
      <x:c r="B5" s="5" t="str">
        <x:v>具身智能/VLA/机器人基础模型</x:v>
      </x:c>
      <x:c r="C5" s="5" t="str">
        <x:v>主方向：工程研究结合</x:v>
      </x:c>
      <x:c r="D5" s="5" t="str">
        <x:v>真机模型适配、数据与评测、策略和控制集成</x:v>
      </x:c>
      <x:c r="E5" s="5" t="str">
        <x:v>Unitree H2/G1、GR00T/OpenPI+SONIC、8任务/24场景评测、Dexmate IROS demo</x:v>
      </x:c>
      <x:c r="F5" s="5" t="str">
        <x:v>Bedrock World Models；NVIDIA DevTech Robotics China</x:v>
      </x:c>
      <x:c r="G5" s="5" t="str">
        <x:v>大规模训练、世界模型已完成成果、PhD门槛</x:v>
      </x:c>
      <x:c r="H5" s="5" t="str">
        <x:v>resumes/D1_embodied/Ziyu_Xu_D1.tex</x:v>
      </x:c>
    </x:row>
    <x:row r="6" ht="50" customHeight="1">
      <x:c r="A6" s="5" t="str">
        <x:v>D2</x:v>
      </x:c>
      <x:c r="B6" s="5" t="str">
        <x:v>全身控制/locomotion/安全控制</x:v>
      </x:c>
      <x:c r="C6" s="5" t="str">
        <x:v>主方向：控制与实机证据扎实</x:v>
      </x:c>
      <x:c r="D6" s="5" t="str">
        <x:v>学习增强控制、真机闭环、安全评估</x:v>
      </x:c>
      <x:c r="E6" s="5" t="str">
        <x:v>Lie-MPC实船20%改善；CMU WBC/CBF/world model在研</x:v>
      </x:c>
      <x:c r="F6" s="5" t="str">
        <x:v>J&amp;J Controls R-099654；Corning MPC/Advanced Process 78170</x:v>
      </x:c>
      <x:c r="G6" s="5" t="str">
        <x:v>新研究尚在进行；不可暗示CBF保证或locomotion成果</x:v>
      </x:c>
      <x:c r="H6" s="5" t="str">
        <x:v>resumes/D2_control/Ziyu_Xu_D2.tex</x:v>
      </x:c>
    </x:row>
    <x:row r="7" ht="50" customHeight="1">
      <x:c r="A7" s="5" t="str">
        <x:v>D3</x:v>
      </x:c>
      <x:c r="B7" s="5" t="str">
        <x:v>VLM/视频理解/推理效率</x:v>
      </x:c>
      <x:c r="C7" s="5" t="str">
        <x:v>主方向：研究岗位需严查学位</x:v>
      </x:c>
      <x:c r="D7" s="5" t="str">
        <x:v>KV上下文重编码、预算匹配评估、视频/视觉研究</x:v>
      </x:c>
      <x:c r="E7" s="5" t="str">
        <x:v>ICLR2027投稿两篇、SAM手术视觉、PyTorch</x:v>
      </x:c>
      <x:c r="F7" s="5" t="str">
        <x:v>Waymo Simulator Realism 5432；Bedrock ML Inference</x:v>
      </x:c>
      <x:c r="G7" s="5" t="str">
        <x:v>ICLR是投稿；CUDA/Rust/TPU等不能补写成既有技能</x:v>
      </x:c>
      <x:c r="H7" s="5" t="str">
        <x:v>resumes/D3_vlm/Ziyu_Xu_D3.tex</x:v>
      </x:c>
    </x:row>
    <x:row r="8" ht="50" customHeight="1">
      <x:c r="A8" s="5" t="str">
        <x:v>D4</x:v>
      </x:c>
      <x:c r="B8" s="5" t="str">
        <x:v>自主系统/规划控制/SLAM</x:v>
      </x:c>
      <x:c r="C8" s="5" t="str">
        <x:v>相邻强方向</x:v>
      </x:c>
      <x:c r="D8" s="5" t="str">
        <x:v>主动SLAM、通信约束探索、传感器与闭环自治</x:v>
      </x:c>
      <x:c r="E8" s="5" t="str">
        <x:v>Unity/AirSim、ROS1到ROS2、EXP3与实船感知</x:v>
      </x:c>
      <x:c r="F8" s="5" t="str">
        <x:v>Waymo Road Understanding 5452；Maneuvering Tech 5411</x:v>
      </x:c>
      <x:c r="G8" s="5" t="str">
        <x:v>自动驾驶道路/BEV、生产C++深度待证明</x:v>
      </x:c>
      <x:c r="H8" s="5" t="str">
        <x:v>resumes/D4_autonomy/Ziyu_Xu_D4.tex</x:v>
      </x:c>
    </x:row>
    <x:row r="9" ht="50" customHeight="1">
      <x:c r="A9" s="5" t="str">
        <x:v>D5</x:v>
      </x:c>
      <x:c r="B9" s="5" t="str">
        <x:v>机器人软件/仿真/数据与评测系统</x:v>
      </x:c>
      <x:c r="C9" s="5" t="str">
        <x:v>覆盖面最广的工程方向</x:v>
      </x:c>
      <x:c r="D9" s="5" t="str">
        <x:v>可复现部署、日志、仿真、系统测试与标定</x:v>
      </x:c>
      <x:c r="E9" s="5" t="str">
        <x:v>跨平台策略基础设施、PICO 2.5cm、传感器集成和现场demo</x:v>
      </x:c>
      <x:c r="F9" s="5" t="str">
        <x:v>Waymo Behavior Test 5361；J&amp;J Systems/Simulation R-100027</x:v>
      </x:c>
      <x:c r="G9" s="5" t="str">
        <x:v>SQL/云/CI与工业质量经验逐岗判断</x:v>
      </x:c>
      <x:c r="H9" s="5" t="str">
        <x:v>resumes/D5_systems/Ziyu_Xu_D5.tex</x:v>
      </x:c>
    </x:row>
  </x:sheetData>
  <x:pageMargins left="0.7" right="0.7" top="0.75" bottom="0.75" header="0.3" footer="0.3"/>
  <x:tableParts count="1">
    <x:tablePart xmlns:r="http://schemas.openxmlformats.org/officeDocument/2006/relationships" r:id="R45d30c1b3e1145e2"/>
  </x:tableParts>
</x:worksheet>
</file>